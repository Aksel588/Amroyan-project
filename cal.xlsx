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AA Accounting\social\сайт\"/>
    </mc:Choice>
  </mc:AlternateContent>
  <xr:revisionPtr revIDLastSave="0" documentId="13_ncr:1_{8E82D0CC-D9CE-47EF-909D-B25252800D1F}" xr6:coauthVersionLast="47" xr6:coauthVersionMax="47" xr10:uidLastSave="{00000000-0000-0000-0000-000000000000}"/>
  <bookViews>
    <workbookView xWindow="-120" yWindow="-120" windowWidth="29040" windowHeight="15840" xr2:uid="{00000000-000D-0000-FFFF-FFFF00000000}"/>
  </bookViews>
  <sheets>
    <sheet name="նախագծերի հաշվիչ" sheetId="7" r:id="rId1"/>
    <sheet name="շրջհարկի հաշվիչ" sheetId="5" r:id="rId2"/>
    <sheet name="շահութահարկ" sheetId="6" r:id="rId3"/>
    <sheet name="калькулятор" sheetId="1" r:id="rId4"/>
    <sheet name="Лист1" sheetId="2" r:id="rId5"/>
    <sheet name="Դրոշմանիշային վճարի սանդղակ" sheetId="3" r:id="rId6"/>
  </sheets>
  <definedNames>
    <definedName name="_xlnm.Print_Area" localSheetId="3">калькулятор!#REF!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0" i="7" l="1"/>
  <c r="F38" i="7"/>
  <c r="F28" i="7"/>
  <c r="F27" i="7"/>
  <c r="F30" i="7"/>
  <c r="F29" i="7"/>
  <c r="F22" i="7" l="1"/>
  <c r="F25" i="7"/>
  <c r="F24" i="7"/>
  <c r="D22" i="7"/>
  <c r="D21" i="7"/>
  <c r="F15" i="7"/>
  <c r="E16" i="7"/>
  <c r="D16" i="7"/>
  <c r="D15" i="7"/>
  <c r="G10" i="1" l="1"/>
  <c r="H10" i="1" s="1"/>
  <c r="E10" i="1" s="1"/>
  <c r="F9" i="1"/>
  <c r="G9" i="1"/>
  <c r="H9" i="1" s="1"/>
  <c r="E9" i="1" s="1"/>
  <c r="G8" i="1"/>
  <c r="G7" i="1"/>
  <c r="F7" i="1"/>
  <c r="K7" i="5" l="1"/>
  <c r="K6" i="5"/>
  <c r="K5" i="5"/>
  <c r="K4" i="5"/>
  <c r="K3" i="5"/>
  <c r="I3" i="5"/>
  <c r="I4" i="5"/>
  <c r="K11" i="5"/>
  <c r="K12" i="5"/>
  <c r="K13" i="5"/>
  <c r="J3" i="5" l="1"/>
  <c r="J4" i="5"/>
  <c r="I5" i="5"/>
  <c r="D41" i="6"/>
  <c r="D88" i="6" l="1"/>
  <c r="G4" i="1" l="1"/>
  <c r="E8" i="1" l="1"/>
  <c r="E7" i="1"/>
  <c r="F4" i="1"/>
  <c r="D70" i="6"/>
  <c r="H5" i="1"/>
  <c r="F42" i="7"/>
  <c r="E4" i="1"/>
  <c r="D48" i="6"/>
  <c r="D52" i="6"/>
  <c r="D29" i="6"/>
  <c r="J7" i="5"/>
  <c r="J6" i="5"/>
  <c r="J5" i="5"/>
  <c r="I6" i="5"/>
  <c r="I7" i="5"/>
  <c r="K8" i="5"/>
  <c r="K10" i="5"/>
  <c r="D63" i="6" l="1"/>
  <c r="H8" i="1"/>
  <c r="H7" i="1"/>
  <c r="F5" i="1"/>
  <c r="E5" i="1"/>
  <c r="H4" i="1"/>
  <c r="D90" i="6" l="1"/>
  <c r="K9" i="5"/>
  <c r="F20" i="7"/>
  <c r="E20" i="7"/>
  <c r="D20" i="7"/>
  <c r="F19" i="7"/>
  <c r="E19" i="7"/>
  <c r="D19" i="7"/>
  <c r="F18" i="7"/>
  <c r="E18" i="7"/>
  <c r="D18" i="7"/>
  <c r="F17" i="7"/>
  <c r="E17" i="7"/>
  <c r="D17" i="7"/>
  <c r="F16" i="7"/>
  <c r="E21" i="7"/>
  <c r="E15" i="7"/>
  <c r="D92" i="6" l="1"/>
  <c r="D95" i="6" s="1"/>
  <c r="D96" i="6" s="1"/>
  <c r="D99" i="6" s="1"/>
  <c r="D102" i="6" s="1"/>
  <c r="D106" i="6" s="1"/>
  <c r="D109" i="6" s="1"/>
  <c r="F21" i="7"/>
  <c r="E22" i="7"/>
  <c r="F43" i="7" l="1"/>
</calcChain>
</file>

<file path=xl/sharedStrings.xml><?xml version="1.0" encoding="utf-8"?>
<sst xmlns="http://schemas.openxmlformats.org/spreadsheetml/2006/main" count="186" uniqueCount="177">
  <si>
    <t>с чистого гербовый</t>
  </si>
  <si>
    <t>ЕСЛИ(D4=0,0,ЕСЛИ(И(D4&gt;0,D4&lt;=73500),1500,ЕСЛИ(D4&lt;=147000,3000,ЕСЛИ(D4&lt;=369500,5500,ЕСЛИ(D4&lt;=716500,8500,15000)))))</t>
  </si>
  <si>
    <t>Գումարի սահմանաչափ</t>
  </si>
  <si>
    <t>Վճարի չափ</t>
  </si>
  <si>
    <t>Եկամտային հարկ</t>
  </si>
  <si>
    <t>Դրոշմանիշային վճար</t>
  </si>
  <si>
    <t>այո</t>
  </si>
  <si>
    <t>Գործունեություն</t>
  </si>
  <si>
    <t>Առևտրական (առք ու վաճառքի) գործունեությունից ստացվող եկամուտների մասով հարկի հաշվարկ</t>
  </si>
  <si>
    <t>Արտադրական գործունեությունից ստացվող եկամուտների մասով հարկի հաշվարկ</t>
  </si>
  <si>
    <t>Հանրային սննդի ոլորտում իրականացվող գործունեությունից ստացվող եկամուտների մասով
հարկի հաշվարկ (բացառությամբ սույն հաշվարկի 8-րդ կետով սահմանված եկամուտների մասով
հարկի հաշվարկի)</t>
  </si>
  <si>
    <t>Բացառապես Երևան քաղաքից դուրս հանրային սննդի ոլորտում իրականացվող
գործունեությունից ստացվող եկամուտների մասով հարկի հաշվարկ</t>
  </si>
  <si>
    <t>Այլ գործունեությունից ստացվող եկամուտների մասով հարկի հաշվարկ</t>
  </si>
  <si>
    <t>Երկրորդային հումքի առևտրական (առք ու վաճառքի) գործունեությունից ստացվող եկամուտներ</t>
  </si>
  <si>
    <t>Խմբագրությունների կողմից թերթերի օտարումից եկամուտներ</t>
  </si>
  <si>
    <t>Վարձակալական վճար, տոկոս, ռոյալթի</t>
  </si>
  <si>
    <t>Կառավարության սահմանած` բարձր տեխնոլոգիաների ոլորտի գործունեության տեսակների ցանկում ներառված, գործունեության տեսակներից ստացվող եկամուտներ</t>
  </si>
  <si>
    <t>Այլ ակտիվների, այդ թվում՝ անշարժ գույքի օտարումից ստացվող եկամուտներ</t>
  </si>
  <si>
    <t>Հանրային սննդի ոլորտում գործունեություն իրականացնելու համար շրջանառության հարկ վճարող համարվելու վերաբերյալ հարկային մարմնի հաստատած ձևով հայտարարություն ներկայացրած շրջանառության հարկ վճարողների կողմից Հայաստանի
Հանրապետությունում կիրառվող՝ տնտեսական գործունեության դասակարգչի «Հանրային սննդի կազմակերպում» հատվածում չներառվող՝ այլ ակտիվների օտարումից, ինչպես նաև այլ գործունեությունից ստացվող եկամուտներ</t>
  </si>
  <si>
    <t>Շրջանառության ծավալ, դրամ</t>
  </si>
  <si>
    <t>Ապրանքների մատակարարումից եկամուտը</t>
  </si>
  <si>
    <t>Արտադրանքի մատակարարումից եկամուտը</t>
  </si>
  <si>
    <t>Աշխատանքների կատարումից եկամուտը</t>
  </si>
  <si>
    <t>Ծառայությունների մատուցումից եկամուտը, այդ թվում</t>
  </si>
  <si>
    <t>Հիմնական միջոցների օտարումից եկամուտը</t>
  </si>
  <si>
    <t>Այլ ակտիվների օտարումից եկամուտը</t>
  </si>
  <si>
    <t>Շահաբաժիններից եկամուտը</t>
  </si>
  <si>
    <t>Վարկերի տրամադրումից տոկոսային եկամուտը</t>
  </si>
  <si>
    <t>Փոխառությունների տրամադրումից տոկոսային եկամուտը</t>
  </si>
  <si>
    <t>Ռոյալթիներից եկամուտը</t>
  </si>
  <si>
    <t>Անհատույց ստացված դրամական միջոցներից եկամուտը</t>
  </si>
  <si>
    <t>ԺԱՄԱՎՃԱՐ ԱՌՁԵՌՆ</t>
  </si>
  <si>
    <t>ՕՐԱՎՃԱՐ ԱՌՁԵՌՆ</t>
  </si>
  <si>
    <t>ՀԱՍՏԻՔ (ԱՄՍԱՎՃԱՐ) ԱՌՁԵՌՆ</t>
  </si>
  <si>
    <t>ժամավճար</t>
  </si>
  <si>
    <t>ժամեր օրվա մեջ</t>
  </si>
  <si>
    <t>օրերի քանակ ամսվա մեջ</t>
  </si>
  <si>
    <t>օրավճար</t>
  </si>
  <si>
    <t>հաստիք 1</t>
  </si>
  <si>
    <t>հաստիք 2</t>
  </si>
  <si>
    <t>հաստիք 3</t>
  </si>
  <si>
    <t>հաստիք 4</t>
  </si>
  <si>
    <t>հաստիք 5</t>
  </si>
  <si>
    <t>հաստիք 6</t>
  </si>
  <si>
    <t>ամսավճար /հաստիք/</t>
  </si>
  <si>
    <t>հաստիքներ քանակ</t>
  </si>
  <si>
    <t>հաստիքների արժեքներ</t>
  </si>
  <si>
    <t xml:space="preserve">Ընդամենը աշխատավարձային ֆոնդ առձեռն </t>
  </si>
  <si>
    <t>Սոցիալական վճար</t>
  </si>
  <si>
    <t>Ընդամենը աշխատավարձ հարկերով</t>
  </si>
  <si>
    <t>Այլ ծախսեր 1*</t>
  </si>
  <si>
    <t>Այլ ծախսեր 2*</t>
  </si>
  <si>
    <t>Այլ ծախսեր 3*</t>
  </si>
  <si>
    <t>Այլ ծախսեր 4*</t>
  </si>
  <si>
    <t>Այլ ծախսեր 5*</t>
  </si>
  <si>
    <t>կազմակերպության շահույթ, տոկոս</t>
  </si>
  <si>
    <t>կազմակերպության շահույթ, դրամով</t>
  </si>
  <si>
    <t>Ընդհանուր ծառայության արժեքը, ներառյալ հարկեր</t>
  </si>
  <si>
    <t>ԱԱՀ վճարող</t>
  </si>
  <si>
    <t>ԱԱՀ վճարող (այո/ոչ)</t>
  </si>
  <si>
    <t>ԱԱՀ, 20 տոկոս</t>
  </si>
  <si>
    <t>* լրացվում է ըստ նախահաշվի ծախսային լրացուցիչ հոդվածների (հումք, նյութածախս, այլ ծախսեր)</t>
  </si>
  <si>
    <r>
      <t xml:space="preserve">** Հաշվիչը միտված է ցույց տալու ծառայության </t>
    </r>
    <r>
      <rPr>
        <b/>
        <i/>
        <sz val="11"/>
        <color theme="1"/>
        <rFont val="Arial"/>
        <family val="2"/>
        <charset val="204"/>
        <scheme val="minor"/>
      </rPr>
      <t>մոտարկված</t>
    </r>
    <r>
      <rPr>
        <i/>
        <sz val="11"/>
        <color theme="1"/>
        <rFont val="Arial"/>
        <family val="2"/>
        <charset val="204"/>
        <scheme val="minor"/>
      </rPr>
      <t xml:space="preserve"> արժեքը և գնագոյացման բացվածքը։ Վերջնական արժեքը որոշվում է Կատարողի կողմից ծառայության ուսումնասիրություն հետո։</t>
    </r>
  </si>
  <si>
    <t>գործունեության հարկի դրույքաչափ</t>
  </si>
  <si>
    <t>աշխատավարձային մաս</t>
  </si>
  <si>
    <t>այլ ծախսեր</t>
  </si>
  <si>
    <t>ՆԱԽԱԳԾԵՐԻ ՀԱՇՎԻՉ (смета)</t>
  </si>
  <si>
    <t>Անհատույց ստացված հողամասերից եկամուտը</t>
  </si>
  <si>
    <t>Անհատույց ստացված  այլ եկամուտը</t>
  </si>
  <si>
    <t>վարձակալությունից վարձակալական վճարից և (կամ) սերվիտուտի վճարից եկամուտը</t>
  </si>
  <si>
    <t>Գույքագրման ժամանակ հայտնաբերված գույքի ավելցուկից եկամուտը</t>
  </si>
  <si>
    <t>Ապահովագրական հատուցումից եկամուտը</t>
  </si>
  <si>
    <t>Տույժերի, տուգանքների և գույքային այլ պատժամիջոցների տեսքով եկամուտը</t>
  </si>
  <si>
    <t>Պատճառված վնասի (կրած կորստի) հատուցումից եկամուտը</t>
  </si>
  <si>
    <t>Հարկման նպատակով դուրս գրման ենթակա կրեդիտորական պարտքերից եկամուտը</t>
  </si>
  <si>
    <t>Նախկինում դուրս գրված անհուսալի դեբիտորական պարտքերի մարումից եկամուտը</t>
  </si>
  <si>
    <t>Այլ եկամուտները</t>
  </si>
  <si>
    <t>6) Տեղեկատվական ծառայությունների գծով ծախսերը</t>
  </si>
  <si>
    <t>5) Խորհրդատվական ծառայությունների գծով ծախսերը</t>
  </si>
  <si>
    <t>4) Կառավարման ծառայությունների գծով ծախսերը</t>
  </si>
  <si>
    <t>3) Ներկայացուցչական ծախսերը</t>
  </si>
  <si>
    <t>2) ՀՀ տարածքում գործուղման հետ կապված ծախսերը</t>
  </si>
  <si>
    <t>Հաշվանցման (պակասեցման) ենթակա ԱԱՀ-ի գումարներին ավելացվող գումարներից եկամուտը</t>
  </si>
  <si>
    <t>Այլ ծախսերը</t>
  </si>
  <si>
    <t>Տույժերի, տուգանքների և գույքային այլ պատժամիջոցների տեսքով ծախսը</t>
  </si>
  <si>
    <t>Պատճառված վնասի (կրած կորստի) հատուցման գծով ծախսը</t>
  </si>
  <si>
    <t>Վարձակալական վճարի կամ սերվիտուտի գծով ծախսը</t>
  </si>
  <si>
    <t>Ապահովագրական և վերաապահովագրական ծախսը</t>
  </si>
  <si>
    <t>2) Բանկ և (կամ) վարկային կազմակերպություն չհամարվող սուբյեկտներից ներգրավված փոխառությունների գծով տոկոսը</t>
  </si>
  <si>
    <t>Ծախսերը</t>
  </si>
  <si>
    <t>2) Մարկետինգի գծով ծախսերը</t>
  </si>
  <si>
    <t>1) Գովազդի գծով ծախսերը</t>
  </si>
  <si>
    <t>1) ՀՀ տարածքից դուրս գործուղման հետ կապված ծախսերը</t>
  </si>
  <si>
    <t>Ընդամենը, եկամուտներ</t>
  </si>
  <si>
    <t xml:space="preserve">Մատակարարված ապրանքների սկզբնական արժեքը </t>
  </si>
  <si>
    <t>Չփոխհատուցվող և սահմանված կարգով չհաշվանցվող (չպակասեցվող) հարկերի, տուրքերի և վճարների գծով ծախսը</t>
  </si>
  <si>
    <t>Հաշվանցման (պակասեցման) ենթակա ԱԱՀ-ի գումարներից նվազեցվող գումարների գծով ծախսը</t>
  </si>
  <si>
    <t>Մատակարարված արտադրանքի արտադրության հետ անմիջականորեն կապված ծախսը</t>
  </si>
  <si>
    <t>Աշխատանքների կատարման հետ անմիջականորեն կապված ծախսը</t>
  </si>
  <si>
    <t>Ծառայությունների մատուցման հետ անմիջականորեն կապված ծախսը</t>
  </si>
  <si>
    <t>Օտարված հիմնական միջոցների հաշվեկշռային արժեքը</t>
  </si>
  <si>
    <t>Օտարված ոչ նյութական ակտիվների հաշվեկշռային արժեքը</t>
  </si>
  <si>
    <t>Օտարված այլ ակտիվների հաշվեկշռային արժեքը</t>
  </si>
  <si>
    <t>Իրացման ծախսերը, այդ թվում`</t>
  </si>
  <si>
    <t>Ոչ արտադրական բնույթի ծախսերը</t>
  </si>
  <si>
    <t>Բնական կորուստը</t>
  </si>
  <si>
    <t>Որակական կորուստը</t>
  </si>
  <si>
    <t>Պատահական կորուստը</t>
  </si>
  <si>
    <t>Այլ կորուստը</t>
  </si>
  <si>
    <t>Նախկինում դուրս գրված անհուսալի կրեդիտորական պարտքերի մարման գումարները</t>
  </si>
  <si>
    <t>Ածանցյալ ֆինանսական գործիքների միասնական գրանցամատյանում գրանցված ածանցյալ ֆինանսական գործիքներով կատարվող` պարտավորությունների հաշվանցի  և (կամ) զուտացման արդյունքում ձևավորված վճարումների գծով ծախսը</t>
  </si>
  <si>
    <t>Անվավեր ճանաչված գործարքների մասով նախորդ հաշվետու ժամանակաշրջաններում հարկման բազայի որոշման նպատակով համախառն եկամտում ներառված գումարների վերաձևակերպումից նվազեցումը</t>
  </si>
  <si>
    <t>Անհուսալի դեբիտորական պարտքերի դուրսգրման համար պահուստին կատարվող մասհանումները</t>
  </si>
  <si>
    <t>Անհուսալի դեբիտորական պարտքերի դուրսգրման դեպքում` այդ նպատակով ստեղծված պահուստին կատարված մասհանումները գերազանցող գումարները</t>
  </si>
  <si>
    <t>Բանկերի, վարկային կազմակերպությունների, ապահովագրական ընկերությունների և արժեթղթերի շուկայի մասնագիտացված անձանց ակտիվների և (կամ) ինվեստիցիոն արժեթղթերի հնարավոր կորուստների պահուստներին ուղղված գումարները</t>
  </si>
  <si>
    <t>Բանկերի, վարկային կազմակերպությունների, ապահովագրական ընկերությունների և արժեթղթերի շուկայի մասնագիտացված անձանց կողմից կատարվող ապահովագրական և վերաապահովագրական հատուցումները</t>
  </si>
  <si>
    <t>Փաստացի առաջացած (առկա) պարտավորությունների՝ ամբողջությամբ կամ մասնակի զեղչումից կամ ներումից ստացվող եկամուտը</t>
  </si>
  <si>
    <t>Ապահովագրական ընկերությունների տեխնիկական պահուստների, տեխնիկական պահուստներում վերաապահովագրողի մասնաբաժնի գծով կատարվող ծախսերը</t>
  </si>
  <si>
    <t>Բանկերի, վարկային կազմակերպությունների, ապահովագրական ընկերությունների և արժեթղթերի շուկայի մասնագիտացված անձանց՝ կեղծ թղթադրամների և վճարային փաստաթղթերի պատճառով կրած կորուստները</t>
  </si>
  <si>
    <t>Հարկային տարվան նախորդող 5 հարկային տարիների գործունեության արդյունքներով առաջացած հարկային վնասը</t>
  </si>
  <si>
    <t>Գրադարաններին, թանգարաններին, հանրակրթական դպրոցներին, տուն-գիշերօթիկներին, ծերանոցներին, մանկատներին, բժշկական հաստատություններին, ինչպես նաև ոչ առևտրային կազմակերպություններին տրամադրված ակտիվների, դրանց համար կատարված աշխատանքների և (կամ) դրանց մատուցված ծառայությունների արժեքը</t>
  </si>
  <si>
    <t>Վարձու աշխատող համարվող, ինչպես նաև քաղաքացիաիրավական պայմանագրի հիման վրա աշխատանք կատարող կամ ծառայություն մատուցող յուրաքանչյուր հաշմանդամի համար հաշվարկված աշխատավարձի և դրան հավասարեցված այլ վճարումների, ինչպես նաև քաղաքացիաիրավական պայմանագրից ստացվող եկամուտների հանրագումարի 150%-ը</t>
  </si>
  <si>
    <t>1) Վարկերի, ինչպես նաև բանկերից և վարկային կազմակերպություններից ներգրավված փոխառությունների գծով տոկոսը</t>
  </si>
  <si>
    <t>Ֆիզիկական անձանց օգնության, սննդի կազմակերպման, նրանց համար սոցիալ-մշակութային միջոցառումների կազմակերպման և համանման այլ ծախսերը</t>
  </si>
  <si>
    <t>Վճարման ենթակա հարկ, դրամ</t>
  </si>
  <si>
    <t>Գործունեության հետ անմիջականորեն կապ ունեցող ծախս (ինքնարժեք)</t>
  </si>
  <si>
    <t>Իրացման և վարչական ծախսեր, այլ ծախսեր</t>
  </si>
  <si>
    <t>Հարկի գումարից նվազեցվող գումարի հաշվարկման համար կատարված ծախսերի գումարի նկատմամբ դրույքաչափ</t>
  </si>
  <si>
    <t>Հարկի փաստացի տոկոս</t>
  </si>
  <si>
    <t xml:space="preserve">Հաշվետու եռամսյակի համար հարկի նվազագույն գումար </t>
  </si>
  <si>
    <t>Ծախսեր</t>
  </si>
  <si>
    <t xml:space="preserve">Հաշվետու եռամսյակի համար հարկի նվազագույն տոկոս </t>
  </si>
  <si>
    <t>ոչ</t>
  </si>
  <si>
    <t>Ծախսեր, բացատրություն</t>
  </si>
  <si>
    <t xml:space="preserve">Հաշվիչը հնարավորություն է տալիս հաշվարկել տարբեր ծառայությունների, աշխատանքների և պրոյեկտների բյուջեն, և օգտակար կլինի ինչպես պատվիրատուների, այնպես էլ կատարողների համար: Նախագծի արժեքը հաշվարկելու համար լրացրեք աշխատավարձային մասը (հաստիքների զուտ արժեքները), այլ ծախսային հոդվածները, նշեք կազմակերպության շահույթը (маржа) և Կատարողի ԱԱՀ վճարող լինելը կամ ոչ: </t>
  </si>
  <si>
    <t>Եկամուտներ</t>
  </si>
  <si>
    <t>Միջնորդական պայմանագրերի շրջանակներում իրականացված գործարքների հետ անմիջականորեն կապված ծախսը</t>
  </si>
  <si>
    <t xml:space="preserve">Վարչական ծախսերը, այդ թվում` </t>
  </si>
  <si>
    <t>Ֆինանսական ծախսերը, այդ թվում`</t>
  </si>
  <si>
    <t>Կորուստներ</t>
  </si>
  <si>
    <t>Ռեզիդենտ շահութահարկ վճարողի շահաբաժինները</t>
  </si>
  <si>
    <t>Անհատ ձեռնարկատիրոջ կամ նոտարի կամավոր կենսաթոշակային վճար</t>
  </si>
  <si>
    <t>Այլ նվազեցումներ</t>
  </si>
  <si>
    <t>Նվազեցումներ</t>
  </si>
  <si>
    <t>ЕСЛИ(D32 / (1 - 25/100)=0,0,ЕСЛИ(И(D32 / (1 - 25/100)&gt;='C:\Users\Finansist\Desktop\GOHAR\ID BANK\[1․ Գնային առաջարկ ID.xlsx]Դրոշմանիշային վճարի սանդղակ'!$A$2,E5 / (1 - 25/100)&lt;='C:\Users\Finansist\Desktop\GOHAR\ID BANK\[1․ Գնային առաջարկ ID.xlsx]Դրոշմանիշային վճարի սանդղակ'!$B$2),'C:\Users\Finansist\Desktop\GOHAR\ID BANK\[1․ Գնային առաջարկ ID.xlsx]Դրոշմանիշային վճարի սանդղակ'!E2,ЕСЛИ(И(E5 / (1 - 25/100)&gt;='C:\Users\Finansist\Desktop\GOHAR\ID BANK\[1․ Գնային առաջարկ ID.xlsx]Դրոշմանիշային վճարի սանդղակ'!$A$3,E5 / (1 - 25/100)&lt;='C:\Users\Finansist\Desktop\GOHAR\ID BANK\[1․ Գնային առաջարկ ID.xlsx]Դրոշմանիշային վճարի սանդղակ'!$B$3),'C:\Users\Finansist\Desktop\GOHAR\ID BANK\[1․ Գնային առաջարկ ID.xlsx]Դրոշմանիշային վճարի սանդղակ'!$C$3,ЕСЛИ(И(E5 / (1 - 25/100)&gt;='C:\Users\Finansist\Desktop\GOHAR\ID BANK\[1․ Գնային առաջարկ ID.xlsx]Դրոշմանիշային վճարի սանդղակ'!$A$4,E5 / (1 - 25/100)&lt;='C:\Users\Finansist\Desktop\GOHAR\ID BANK\[1․ Գնային առաջարկ ID.xlsx]Դրոշմանիշային վճարի սանդղակ'!$B$4),'C:\Users\Finansist\Desktop\GOHAR\ID BANK\[1․ Գնային առաջարկ ID.xlsx]Դրոշմանիշային վճարի սանդղակ'!$C$4,ЕСЛИ(И(E5 / (1 - 25/100)&gt;='C:\Users\Finansist\Desktop\GOHAR\ID BANK\[1․ Գնային առաջարկ ID.xlsx]Դրոշմանիշային վճարի սանդղակ'!$A$5,E5 / (1 - 25/100)&lt;='C:\Users\Finansist\Desktop\GOHAR\ID BANK\[1․ Գնային առաջարկ ID.xlsx]Դրոշմանիշային վճարի սանդղակ'!$B$5),'C:\Users\Finansist\Desktop\GOHAR\ID BANK\[1․ Գնային առաջարկ ID.xlsx]Դրոշմանիշային վճարի սանդղակ'!$C$5,ЕСЛИ(И(E5 / (1 - 25/100)&gt;='C:\Users\Finansist\Desktop\GOHAR\ID BANK\[1․ Գնային առաջարկ ID.xlsx]Դրոշմանիշային վճարի սանդղակ'!$A$6),'C:\Users\Finansist\Desktop\GOHAR\ID BANK\[1․ Գնային առաջարկ ID.xlsx]Դրոշմանիշային վճարի սանդղակ'!F6))))))</t>
  </si>
  <si>
    <t>կեղտոտից մաքուր, սոց վճարող</t>
  </si>
  <si>
    <t>կեղտոտից մաքուր, սոց վճարող չէ</t>
  </si>
  <si>
    <t>մաքուրից կեղտոտ, սոց վճարող</t>
  </si>
  <si>
    <t>մաքուրից կեղտոտ, սոց վճարող չէ</t>
  </si>
  <si>
    <r>
      <t>Շրջանառության հարկի հաշվիչը հնարավորություն է տալիս հաշվարկել կազմակերպության կամ ԱՁ-ի եռամսյակային շրջանառության հարկը: Տող 1-5 համար լրացվում է շրջանառության ծավալը, գ</t>
    </r>
    <r>
      <rPr>
        <sz val="11"/>
        <color theme="1"/>
        <rFont val="Arial"/>
        <family val="2"/>
        <scheme val="minor"/>
      </rPr>
      <t>ործունեության հետ անմիջականորեն կապ ունեցող ծախս (ինքնարժեք), իրացման, վարչական և այլ ծախսերը, որից հետո հաշվիչը ավտոմատ կերպով հաշվարկում է հարկի փաստացի տոկոսը և վճարման ենթակա հարկը: Տող 6-11 համար լրացվում է միայն շրջանառության ծավալը, գործունեության հարկի դրույքաչափը ֆիքսված է:</t>
    </r>
  </si>
  <si>
    <t>Ընդամենը ծախսերը (25-44-րդ կետերում նշված ծախսերի հանրագումարը)</t>
  </si>
  <si>
    <t>Ընդամենը կորուստները (46-50-րդ կետերում նշված կորուստների հանրագումարը)</t>
  </si>
  <si>
    <t>Ընդամենը այլ նվազեցումները (51-65-րդ կետերում նշված այլ նվազեցումների հանրագումարը)</t>
  </si>
  <si>
    <t>Ընդամենը ծախսեր և նվազեցումներ  ([կետ 45]+[կետ 50]+ [կետ 66] )</t>
  </si>
  <si>
    <t>Հարկվող շահույթը կամ հարկային վնասը (կետ 24 - կետ 67)</t>
  </si>
  <si>
    <t>Հարկվող շահույթի նվազեցման (այդ թվում` շահութահարկի վճարումից եկամուտների ազատման) արտոնությունները</t>
  </si>
  <si>
    <t>Հարկվող շահույթը` հաշվի առած հարկվող շահույթի նվազեցման (այդ թվում` շահութահարկի վճարումից եկամուտների ազատման) արտոնությունները (կետ 68 - կետ 69)</t>
  </si>
  <si>
    <t xml:space="preserve">Հաշվետու տարվա շահութահարկի գումարը </t>
  </si>
  <si>
    <t>Հայաստանի Հանրապետության կառավարության որոշմամբ հավանության արժանացած գործարար ծրագիր իրականացնող ռեզիդենտ շահութահարկ վճարողի՝ շահութահարկի նվազեցման արտոնության հետևանքով նվազեցվող շահութահարկի գումարը</t>
  </si>
  <si>
    <t>Առանձին խմբերի քաղաքացիներին օրենքով կամ օրենքով սահմանված դեպքերում՝ Հայաստանի Հանրապետության կառավարության որոշմամբ սահմանված զեղչ սակագներով կամ անվճար ծառայություններ մատուցող ռեզիդենտ շահութահարկ վճարողի՝ շահութահարկի նվազեցման արտոնության հետևանքով նվազեցվող շահութահարկի գումարը</t>
  </si>
  <si>
    <t>Շահութահարկի գումարը` շահութահարկի նվազեցման արտոնությունները նվազեցնելուց հետո (կետ 71 - կետ 72 -կետ 73)</t>
  </si>
  <si>
    <t xml:space="preserve">Հաշվետու տարում շահութահարկի հաշվարկված կանխավճարների հանրագումարը </t>
  </si>
  <si>
    <t>Նախորդ տարիներում վճարված և շահութահարկի գումարից չհաշվանցված նվազագույն շահութահարկի գումարը</t>
  </si>
  <si>
    <t>Վճարման ենթակա շահութահարկի գումարը (կետ 76 -կետ 77)</t>
  </si>
  <si>
    <t>Հաջորդ տարիներ փոխանցվող` չհաշվանցված նվազագույն շահութահարկի գումարը</t>
  </si>
  <si>
    <t>Շահութահարկի գումարը` հաշվետու տարում շահութահարկի կանխավճարների հանրագումարը նվազեցնելուց հետո (կետ 74 - կետ 75)</t>
  </si>
  <si>
    <r>
      <rPr>
        <b/>
        <sz val="11"/>
        <color rgb="FFFF0000"/>
        <rFont val="Arial"/>
        <family val="2"/>
        <scheme val="minor"/>
      </rPr>
      <t>Աշխատավարձի հաշվիչի  նկարագրություն</t>
    </r>
    <r>
      <rPr>
        <sz val="11"/>
        <color rgb="FFFF0000"/>
        <rFont val="Arial"/>
        <family val="2"/>
        <scheme val="minor"/>
      </rPr>
      <t xml:space="preserve">
Աշխատավարձի հաշվիչը հնարավորություն է տալիս պարզ և մատչելի կերպով հաշվարկել աշխատավարձի չափը, հարկերը և այլ վճարների չափերը։
Հաշվիչի միջոցով կարելի է հաշվարկել և՛ մաքուր աշխատավարձը (հարկերից հետո)՝ նշելով գրանցված աշխատավարձի չափը, և՛ գրանցված աշխատավարձը (մինչ հարկումը)՝ նշելով մաքուր աշխատավարձը։
</t>
    </r>
    <r>
      <rPr>
        <b/>
        <sz val="11"/>
        <color rgb="FFFF0000"/>
        <rFont val="Arial"/>
        <family val="2"/>
        <scheme val="minor"/>
      </rPr>
      <t>Եկամտային Հարկ</t>
    </r>
    <r>
      <rPr>
        <sz val="11"/>
        <color rgb="FFFF0000"/>
        <rFont val="Arial"/>
        <family val="2"/>
        <scheme val="minor"/>
      </rPr>
      <t xml:space="preserve">
2023թ.-ի հունվարի 1-ից եկամտային հարկի դրույքաչափը կազմում է </t>
    </r>
    <r>
      <rPr>
        <b/>
        <sz val="11"/>
        <color rgb="FFFF0000"/>
        <rFont val="Arial"/>
        <family val="2"/>
        <scheme val="minor"/>
      </rPr>
      <t>20%</t>
    </r>
    <r>
      <rPr>
        <sz val="11"/>
        <color rgb="FFFF0000"/>
        <rFont val="Arial"/>
        <family val="2"/>
        <scheme val="minor"/>
      </rPr>
      <t xml:space="preserve">։
Հարկային արտոնություններից օգտվող ՏՏ ոլորտի լիցենզավորված ընկերությունների համար եկամտային հարկը կազմում է </t>
    </r>
    <r>
      <rPr>
        <b/>
        <sz val="11"/>
        <color rgb="FFFF0000"/>
        <rFont val="Arial"/>
        <family val="2"/>
        <scheme val="minor"/>
      </rPr>
      <t>10%</t>
    </r>
    <r>
      <rPr>
        <sz val="11"/>
        <color rgb="FFFF0000"/>
        <rFont val="Arial"/>
        <family val="2"/>
        <scheme val="minor"/>
      </rPr>
      <t xml:space="preserve">:
</t>
    </r>
    <r>
      <rPr>
        <b/>
        <sz val="11"/>
        <color rgb="FFFF0000"/>
        <rFont val="Arial"/>
        <family val="2"/>
        <scheme val="minor"/>
      </rPr>
      <t>Պարտադիր Կուտակային Կենսաթոշակային Համակարգ</t>
    </r>
    <r>
      <rPr>
        <sz val="11"/>
        <color rgb="FFFF0000"/>
        <rFont val="Arial"/>
        <family val="2"/>
        <scheme val="minor"/>
      </rPr>
      <t xml:space="preserve">
Պարտադիր մասնակցություն - Կուտակային կենսաթոշակային համակարգի մասնակից` ծնված 1974թ. և դրանից հետո
Կամավոր մասնակցություն - Մինչ 1974թ. ծնվածները, ինչպես նաև ինքնազբաղված անձինք` անկախ տարիքից:
2023թ. հունվարի 1-ից գործում են հետևյալ կարգավորումները.</t>
    </r>
  </si>
  <si>
    <r>
      <t>Պարտադիր մասնակիցների համար հաշվարկը հետևյալն է. պարտադիր կուտակային վճարի չափը կազմում է անձի բազային եկամտի 10%-ը.
Եթե բազային եկամուտը 500,000 դրամից պակաս է, ապա 5% վճարվում է անձի, իսկ մյուս 5%-ը պետության կողմից:
Եթե բազային եկամուտը գերազանցում է 500,000 դրամը, սակայն պակաս է նվազագույն (75,000 դրամ) աշխատավարձի 15-ապատիկից (1,125,000 դրամ), ապա պետության կողմից վճարվում է 25,000 դրամ, իսկ մասնակցի կողմից բազային եկամտի 10% - 25,000 դրամ։
Եթե բազային եկամուտը գերազանցում է 1,125,000 դրամը, ապա պետության կողմից վճարվում է 25,000 դրամ, իսկ անձի կողմից` 87,500 դրամ:
Կուտակային համակարգին մինչև 2018թ. հուլիս ամիսը կամավոր միացած անձանց համար գործում են պարտադիր մասնակիցների համար նախատեսված պայմանները։ 2018թ.-ի հուլիսից համակարգին կամավոր միացած անձանց համար կուտակային վճարի չափը</t>
    </r>
    <r>
      <rPr>
        <b/>
        <sz val="11"/>
        <color rgb="FFFF0000"/>
        <rFont val="Arial"/>
        <family val="2"/>
        <scheme val="minor"/>
      </rPr>
      <t xml:space="preserve"> 5% </t>
    </r>
    <r>
      <rPr>
        <sz val="11"/>
        <color rgb="FFFF0000"/>
        <rFont val="Arial"/>
        <family val="2"/>
        <scheme val="minor"/>
      </rPr>
      <t xml:space="preserve">է, եթե բազային եկամուտը չի գերազանցում 1,125,000 դրամը և </t>
    </r>
    <r>
      <rPr>
        <b/>
        <sz val="11"/>
        <color rgb="FFFF0000"/>
        <rFont val="Arial"/>
        <family val="2"/>
        <scheme val="minor"/>
      </rPr>
      <t>56,250 դրամ</t>
    </r>
    <r>
      <rPr>
        <sz val="11"/>
        <color rgb="FFFF0000"/>
        <rFont val="Arial"/>
        <family val="2"/>
        <scheme val="minor"/>
      </rPr>
      <t>, եթե գերազանցում է։</t>
    </r>
  </si>
  <si>
    <r>
      <rPr>
        <b/>
        <sz val="11"/>
        <color rgb="FFFF0000"/>
        <rFont val="Arial"/>
        <family val="2"/>
        <scheme val="minor"/>
      </rPr>
      <t>Դրոշմանիշային վճար</t>
    </r>
    <r>
      <rPr>
        <sz val="11"/>
        <color rgb="FFFF0000"/>
        <rFont val="Arial"/>
        <family val="2"/>
        <scheme val="minor"/>
      </rPr>
      <t xml:space="preserve">
2021թ. հունվարի 1-ից Զինծառայողների ապահովագրության հիմնադրամի դրոշմանիշային վճարները կատարվում են հետևյալ դրույքաչափերով.                                                                              Մինչև 100 000 դրամ հաշվարկման բազայի դեպքում՝ 1500 դրամ
100 001-ից մինչև 200 000 դրամ հաշվարկման բազայի դեպքում՝ 3000 դրամ
200 001-ից մինչև 500 000 դրամ հաշվարկման բազայի դեպքում՝ 5500 դրամ
500 001-ից մինչև 1 000 000 դրամ հաշվարկման բազայի դեպքում՝ 8500 դրամ
1 000 001 դրամ և ավելի հաշվարկման բազայի դեպքում՝ 15 000 դրամ</t>
    </r>
  </si>
  <si>
    <t>Տող 1-23 մեջ լրացվում են եկամուտները ըստ տեսակի այցելուի կողմից: Տող 24-ը տալիս է իրենց հանրագումարը: Տող 25-32 լրացվում են ծախսերը ըստ տեսակի այցելուի կողմից: Տող 33-ում հանրագումար է 33 կետի 1-6 ենթատողերի համար: Տող 34-ում հանրագումար է 34 կետի 1-2 ենթակետերի համար: Տող 35 լրացվում է ծախսը ըստ տեսակի այցելուի կողմից: Տող 36-ում հանրագումար է 36 կետի 1-2 ենթակետերի համար: Տող 37-44լրացվում են ծախսերը ըստ տեսակի այցելուի կողմից: Տող 45-ում տալիս է տողեր 25-44 հանրագումարը: Տող 46-49 լրացվում են ծախսերը ըստ տեսակի այցելուի կողմից: Տող 50-ում տալիս է տողեր 46-49 հանրագումարը:  Տող 51-65 լրացվում են ծախսերը ըստ տեսակի այցելուի կողմից: Տող 66-ում տալիս է տողեր 51-65 հանրագումարը: Տող 67-ում տալիս է տողեր 45,50 և 66 տողերի հանրագումարը: Տող 68-ում տալիս է տող 24 - տող 67 տարբերությունը: Տող 69 լրացվում է այցելուի կողմից: Տող 70-ում տալիս է տող 68 - տող 69 տարբերությունը: Տող 71-ում տալիս է տող 70-ի 18 տոկոսը: Տող 72-73 լրացվում են այցելուի կողմից: Տող 74-ում տալիս է տող 71 - տող 72- տող 73 տարբերությունը: Տող 75 լրացվում է այցելուի կողմից: Տող 76-ում տալիս է տող 74 - տող 75 տարբերությունը: Տող 77 լրացվում են այցելուի կողմից: Տող 78-ում տալիս է տող 76 - տող 77 տարբերությունը: Տող 79 բանաձև - եթե տող 78 փոքր է 0-ից, ապա տող 78-ի թիվը, հակառակ դեպքում տող 79-ոիմ գրվում է 0:</t>
  </si>
  <si>
    <r>
      <rPr>
        <b/>
        <sz val="14"/>
        <color theme="1"/>
        <rFont val="Arial"/>
        <family val="2"/>
        <scheme val="minor"/>
      </rPr>
      <t>1. Շրջանառության ծավալ</t>
    </r>
    <r>
      <rPr>
        <sz val="14"/>
        <color theme="1"/>
        <rFont val="Arial"/>
        <family val="2"/>
        <scheme val="minor"/>
      </rPr>
      <t xml:space="preserve"> սյունակում  լրացվում է ծավալը համապատասխան գործունեության համար: 2. </t>
    </r>
    <r>
      <rPr>
        <b/>
        <sz val="14"/>
        <color theme="1"/>
        <rFont val="Arial"/>
        <family val="2"/>
        <scheme val="minor"/>
      </rPr>
      <t>Գործունեության հարկի դրույքաչափ</t>
    </r>
    <r>
      <rPr>
        <sz val="14"/>
        <color theme="1"/>
        <rFont val="Arial"/>
        <family val="2"/>
        <scheme val="minor"/>
      </rPr>
      <t xml:space="preserve"> սյունակը ֆիքսված է, դրված է մեր կողմից: 3. </t>
    </r>
    <r>
      <rPr>
        <b/>
        <sz val="14"/>
        <color theme="1"/>
        <rFont val="Arial"/>
        <family val="2"/>
        <scheme val="minor"/>
      </rPr>
      <t xml:space="preserve">Գործունեության հետ անմիջականորեն կապ ունեցող ծախս (ինքնարժեք) </t>
    </r>
    <r>
      <rPr>
        <sz val="14"/>
        <color theme="1"/>
        <rFont val="Arial"/>
        <family val="2"/>
        <scheme val="minor"/>
      </rPr>
      <t xml:space="preserve">և </t>
    </r>
    <r>
      <rPr>
        <b/>
        <sz val="14"/>
        <color theme="1"/>
        <rFont val="Arial"/>
        <family val="2"/>
        <scheme val="minor"/>
      </rPr>
      <t>Իրացման և վարչական ծախսեր, այլ ծախսեր</t>
    </r>
    <r>
      <rPr>
        <sz val="14"/>
        <color theme="1"/>
        <rFont val="Arial"/>
        <family val="2"/>
        <scheme val="minor"/>
      </rPr>
      <t xml:space="preserve"> սյունակում լրացվում են կատարված ծախսերը 1-5 տողերի համար: Տող 6-10 համար այդ դաշտերը ակտիվ չեն: 4. Դեղին դաշտերը առհասարակ պասիվ դաշտեր են, լրացման ենթակա չեն: </t>
    </r>
    <r>
      <rPr>
        <b/>
        <sz val="14"/>
        <color theme="1"/>
        <rFont val="Arial"/>
        <family val="2"/>
        <scheme val="minor"/>
      </rPr>
      <t xml:space="preserve">Հարկի գումարից նվազեցվող գումարի հաշվարկման համար կատարված ծախսերի գումարի նկատմամբ դրույքաչափ </t>
    </r>
    <r>
      <rPr>
        <sz val="14"/>
        <color theme="1"/>
        <rFont val="Arial"/>
        <family val="2"/>
        <scheme val="minor"/>
      </rPr>
      <t>և</t>
    </r>
    <r>
      <rPr>
        <b/>
        <sz val="14"/>
        <color theme="1"/>
        <rFont val="Arial"/>
        <family val="2"/>
        <scheme val="minor"/>
      </rPr>
      <t xml:space="preserve"> Հաշվետու եռամսյակի համար հարկի նվազագույն տոկոս </t>
    </r>
    <r>
      <rPr>
        <sz val="14"/>
        <color theme="1"/>
        <rFont val="Arial"/>
        <family val="2"/>
        <scheme val="minor"/>
      </rPr>
      <t xml:space="preserve">սյունակների արժեքները ֆիքսված են, դրվում են մեր կողմից: 5. </t>
    </r>
    <r>
      <rPr>
        <b/>
        <sz val="14"/>
        <color theme="1"/>
        <rFont val="Arial"/>
        <family val="2"/>
        <scheme val="minor"/>
      </rPr>
      <t xml:space="preserve">Հաշվետու եռամսյակի համար հարկի նվազագույն գումար </t>
    </r>
    <r>
      <rPr>
        <sz val="14"/>
        <color theme="1"/>
        <rFont val="Arial"/>
        <family val="2"/>
        <scheme val="minor"/>
      </rPr>
      <t xml:space="preserve">սյունակում տող 1-5 համար դրվում է բանաձև` շրջանառության ծավալը * հաշվետու եռ համար նվազագույն տոկոսի արժեք: 6. </t>
    </r>
    <r>
      <rPr>
        <b/>
        <sz val="14"/>
        <color theme="1"/>
        <rFont val="Arial"/>
        <family val="2"/>
        <scheme val="minor"/>
      </rPr>
      <t xml:space="preserve">Հարկի փաստացի տոկոս սյունակում </t>
    </r>
    <r>
      <rPr>
        <sz val="14"/>
        <color theme="1"/>
        <rFont val="Arial"/>
        <family val="2"/>
        <scheme val="minor"/>
      </rPr>
      <t xml:space="preserve">դրվում է բանաձև` Վճարման ենթակա հարկ սյունակի արժեք  / Շրջանառության ծավալ սյունակի արժեք, ու դա արտացոլվում է տոկոսային արժեքով` տող 1-5 համար: Տող 6-11 համար այդ դաշտի տոկոսը հավասար է </t>
    </r>
    <r>
      <rPr>
        <b/>
        <sz val="14"/>
        <color theme="1"/>
        <rFont val="Arial"/>
        <family val="2"/>
        <scheme val="minor"/>
      </rPr>
      <t>գործունեության հարկի դրույքաչափ</t>
    </r>
    <r>
      <rPr>
        <sz val="14"/>
        <color theme="1"/>
        <rFont val="Arial"/>
        <family val="2"/>
        <scheme val="minor"/>
      </rPr>
      <t xml:space="preserve"> սյունակի տոկոսներին, դրվում է ավտոմատ: 7. </t>
    </r>
    <r>
      <rPr>
        <b/>
        <sz val="14"/>
        <color theme="1"/>
        <rFont val="Arial"/>
        <family val="2"/>
        <scheme val="minor"/>
      </rPr>
      <t xml:space="preserve">Վճարման ենթակա հարկ </t>
    </r>
    <r>
      <rPr>
        <sz val="14"/>
        <color theme="1"/>
        <rFont val="Arial"/>
        <family val="2"/>
        <scheme val="minor"/>
      </rPr>
      <t xml:space="preserve">սյունակում տող 6-11 համար դրվում է բանաձև, բազմապատկել առաջին երկու սյունակների արժեքները, ստանալ դրամային արժեք: Տող 1-5 համար առանձին-առանձին դրվում է բանաձև: </t>
    </r>
  </si>
  <si>
    <t>Տող 1-5 համար` եթե սյուն 1* սյուն 2 - (սյուն 3 +սյուն 4)* սյուն 5, այդ տարբերությունը մեծ է սյուն 7-ի արժեքից, արտացոլվում է այդ տարբերության գումարը: Եթե տարբերությունը փոքր է սյուն 7-ի արժեքից, ապա արտացոլվում է սյուն 7-ի արժեքը</t>
  </si>
  <si>
    <r>
      <t xml:space="preserve">1. կեղտոտից մաքուր, սոց վճարողի դեպքում. </t>
    </r>
    <r>
      <rPr>
        <sz val="11"/>
        <color theme="1"/>
        <rFont val="Times New Roman"/>
        <family val="1"/>
      </rPr>
      <t xml:space="preserve">Եկամտայինը` գրված կեղտոտ աշխատավարձի 20 տոկոսը: Սոցվճարը`եթե աշխատավարձը փոքր է կամ հավասար է 500 000-ից, ապա աշխատավարձի 5 տոկոս; եթե աշխատավարձը մեծ է 500 000-ից և փոքր կամ հավասար է 1 125 000, ապա աշխատավարձի 10 տոկոսից - 25 000; եթե աշխատավարձը մեծ է 1 125 000-ից, ֆիքսված 87 500: Դրոշմանիշային վճարը` եթե աշխատավարձը 0, դրոշմանիշը 0; եթե աշխատավարձը փոքր կամ հավասար է 100 000, ապա դրոշմանիշայինը 1500; եթե աշխատավարձը մեծ է 100 000 և փոքր կամ հավասար է 200 000, ապա դրոշմանիշայինը 3000;  եթե աշխատավարձը մեծ է 200 000 և փոքր կամ հավասար է 500 000, ապա դրոշմանիշայինը 5500; եթե աշխատավարձը մեծ է 500 000 և փոքր կամ հավասար է 1 000 000, ապա դրոշմանիշայինը 8500; եթե աշխատավարձը մեծ է 1 000 000, ապա դրոշմանիշայինը ֆիքսված 15 000: </t>
    </r>
    <r>
      <rPr>
        <b/>
        <sz val="11"/>
        <color theme="1"/>
        <rFont val="Times New Roman"/>
        <family val="1"/>
      </rPr>
      <t xml:space="preserve">Մաքուր աշխատավարձը` կեղտոտից հանած բոլոր հարկերը        </t>
    </r>
    <r>
      <rPr>
        <sz val="11"/>
        <color theme="1"/>
        <rFont val="Times New Roman"/>
        <family val="1"/>
      </rPr>
      <t xml:space="preserve">                                                                                      </t>
    </r>
    <r>
      <rPr>
        <b/>
        <sz val="11"/>
        <color theme="1"/>
        <rFont val="Times New Roman"/>
        <family val="1"/>
      </rPr>
      <t>2. կեղտոտից մաքուր, սոց վճարող չլինելու դեպքում</t>
    </r>
    <r>
      <rPr>
        <sz val="11"/>
        <color theme="1"/>
        <rFont val="Times New Roman"/>
        <family val="1"/>
      </rPr>
      <t xml:space="preserve">. Եկամտայինը` գրված կեղտոտ աշխատավարձի 20 տոկոսը: Սոցվճարը - 0: Դրոշմանիշային վճարը` եթե աշխատավարձը 0, դրոշմանիշը 0; եթե աշխատավարձը փոքր կամ հավասար է 100 000, ապա դրոշմանիշայինը 1500; եթե աշխատավարձը մեծ է 100 000 և փոքր կամ հավասար է 200 000, ապա դրոշմանիշայինը 3000;  եթե աշխատավարձը մեծ է 200 000 և փոքր կամ հավասար է 500 000, ապա դրոշմանիշայինը 5500; եթե աշխատավարձը մեծ է 500 000 և փոքր կամ հավասար է 1 000 000, ապա դրոշմանիշայինը 8500; եթե աշխատավարձը մեծ է 1 000 000, ապա դրոշմանիշայինը ֆիքսված 15 000: </t>
    </r>
    <r>
      <rPr>
        <b/>
        <sz val="11"/>
        <color theme="1"/>
        <rFont val="Times New Roman"/>
        <family val="1"/>
      </rPr>
      <t xml:space="preserve">Մաքուր աշխատավարձը` կեղտոտից հանած բոլոր հարկերը  </t>
    </r>
    <r>
      <rPr>
        <sz val="11"/>
        <color theme="1"/>
        <rFont val="Times New Roman"/>
        <family val="1"/>
      </rPr>
      <t xml:space="preserve"> </t>
    </r>
  </si>
  <si>
    <r>
      <rPr>
        <b/>
        <sz val="11"/>
        <color theme="1"/>
        <rFont val="Times New Roman"/>
        <family val="1"/>
      </rPr>
      <t>3. մաքուրից կեղտոտ, սոց վճարողի դեպքում.</t>
    </r>
    <r>
      <rPr>
        <sz val="11"/>
        <color theme="1"/>
        <rFont val="Times New Roman"/>
        <family val="1"/>
        <charset val="204"/>
      </rPr>
      <t xml:space="preserve"> Գրեցիր մաքուրը; Դրոշմանիշը` եթե մաքուր աշխատավարձը 0, դրոշմանիշը 0; եթե մաքուր աշխատավարձը փոքր կամ հավասար է 73 500, ապա դրոշմանիշայինը 1500; եթե մաքուր աշխատավարձը մեծ է 73 500 և փոքր կամ հավասար է 147 000, ապա դրոշմանիշայինը 3000;  եթե մաքուր աշխատավարձը մեծ է 147 000 և փոքր կամ հավասար է 369 500, ապա դրոշմանիշայինը 5500; եթե մաքուր աշխատավարձը մեծ է 369 500 և փոքր կամ հավասար է 741 500, ապա դրոշմանիշայինը 8500; եթե մաքուր աշխատավարձը մեծ է 741 500, ապա դրոշմանիշայինը ֆիքսված 15 000: </t>
    </r>
    <r>
      <rPr>
        <b/>
        <sz val="11"/>
        <color theme="1"/>
        <rFont val="Times New Roman"/>
        <family val="1"/>
      </rPr>
      <t xml:space="preserve"> կեղտոտ աշխատավարձը`  եթե մաքուր աշխատավարձը փոքր կամ հավասար է 369 500, ապա կեղտոտ աշխատավարձը = (մաքուր աշխատավարձ + համապատասխան դրոշմանիշ վճար) / 0.75; եթե մաքուր աշխատավարձը մեծ է 369 500 բայց փոքր կամ հավասար է 797 500, ապա կեղտոտ աշխատավարձը = (մաքուր աշխատավարձ + համապատասխան դրոշմանիշ վճար -25 000) / 0.7; եթե  եթե մաքուր աշխատավարձը մեծ է 797 500, ապա կեղտոտ աշխատավարձը = (մաքուր աշխատավարձ + համապատասխան դրոշմանիշ վճար +87 500) / /0.8: Կեղտոտ աշխատավարձը ստանալուց հետո ծրագիրը ավտոմատ հաշվում է նաև եկամտային հարկը և սոցվճարը: </t>
    </r>
    <r>
      <rPr>
        <sz val="11"/>
        <color theme="1"/>
        <rFont val="Times New Roman"/>
        <family val="1"/>
        <charset val="204"/>
      </rPr>
      <t xml:space="preserve">Սոցվճարը` եթե մաքուր աշխատավարձը փոքր է կամ հավասար է 369 500-ից, ապա կեղտոտ աշխատավարձի 5 տոկոս; եթե մաքուր աշխատավարձը մեծ է 369 500-ից և փոքր կամ հավասար է 741 500, ապա կեղտոտ աշխատավարձի 10 տոկոսից - 25 000; եթե մաքուր աշխատավարձը մեծ է 741 500-ից, ֆիքսված 87 500: Եկամտայինը` ստացված կեղտոտ աշխատավարձի 20 տոկոսը:                                                                                                                      </t>
    </r>
    <r>
      <rPr>
        <b/>
        <sz val="11"/>
        <color theme="1"/>
        <rFont val="Times New Roman"/>
        <family val="1"/>
      </rPr>
      <t>4. մաքուրից կեղտոտ, սոց վճարող չլինելու դեպքում.</t>
    </r>
    <r>
      <rPr>
        <sz val="11"/>
        <color theme="1"/>
        <rFont val="Times New Roman"/>
        <family val="1"/>
        <charset val="204"/>
      </rPr>
      <t xml:space="preserve"> Գրեցիր մաքուրը; Դրոշմանիշը` եթե մաքուր աշխատավարձը 0, դրոշմանիշը 0; եթե մաքուր աշխատավարձը փոքր կամ հավասար է 78 500, ապա դրոշմանիշայինը 1500; եթե մաքուր աշխատավարձը մեծ է 78 500 և փոքր կամ հավասար է 157 000, ապա դրոշմանիշայինը 3000;  եթե մաքուր աշխատավարձը մեծ է 157 000 և փոքր կամ հավասար է 394 500, ապա դրոշմանիշայինը 5500; եթե մաքուր աշխատավարձը մեծ է 394 500 և փոքր կամ հավասար է 791 500, ապա դրոշմանիշայինը 8500; եթե մաքուր աշխատավարձը մեծ է 791 500, ապա դրոշմանիշայինը ֆիքսված 15 000:  </t>
    </r>
    <r>
      <rPr>
        <b/>
        <sz val="11"/>
        <color theme="1"/>
        <rFont val="Times New Roman"/>
        <family val="1"/>
      </rPr>
      <t>կեղտոտ աշխատավարձը = (մաքուր աշխատավարձ + համապատասխան դրոշմանիշ վճար) / 0.8:</t>
    </r>
    <r>
      <rPr>
        <sz val="11"/>
        <color theme="1"/>
        <rFont val="Times New Roman"/>
        <family val="1"/>
        <charset val="204"/>
      </rPr>
      <t xml:space="preserve"> Կեղտոտ աշխատավարձը ստանալուց հետո ծրագիրը ավտոմատ հաշվում է նաև եկամտային հարկը: Եկամտայինը` ստացված կեղտոտ աշխատավարձի 20 տոկոսը: Սոցվճարը` 0:</t>
    </r>
  </si>
  <si>
    <t>Ընդամենը հաստիքների քանակ</t>
  </si>
  <si>
    <t>Ընդամենը արժեք**</t>
  </si>
  <si>
    <r>
      <t xml:space="preserve">Լրացվում են միայն կապույտ դաշտերը: Աշխատավարձային մասում տողերում 1-6 նշվում են` ժամավճարի բաժնում ժամավճարը դրամով, ժամերը օվա մեջ և աշխատանքային օրերի քանակը ամսվա մեջ: Օրավճարի բաժնում միայն 1 օրվա արժեքը և աշխատանքային օրերի քանակը։ Ամսավճար բաժնում լրացվում է ամսական հաստիքը։ Այդ բոլոր դաշտերի համար առկա է 6 տող, առավելագույնը ամեն մի բաժնից 6 հաստիք լրացնելու համար։ Ներգևի հատվածում, ժամավճարի բաժնում յուրաքանչյուր հաստիքի դաշտի համար բազմապատկվում է վերևի տողի "ժամավճարը" * "ժամը օրվա մեջ" * "օրերի քանակ ամսվա մեջ"։ Ներգևի հատվածում, օրավճարի բաժնում յուրաքանչյուր հաստիքի դաշտի համար բազմապատկվում է վերևի տողի "օրավճարը" * "օրերի քանակ ամսվա մեջ"։ Ներգևի հատվածում, ամսավճարի բաժնում յուրաքանչյուր հաստիքի դաշտի համար արտացոլվում է վերևի տողի "հաստիք" արժեքը։ </t>
    </r>
    <r>
      <rPr>
        <b/>
        <sz val="15"/>
        <color theme="1"/>
        <rFont val="Arial"/>
        <family val="2"/>
        <scheme val="minor"/>
      </rPr>
      <t>"Հաստիքների քանակ"</t>
    </r>
    <r>
      <rPr>
        <sz val="15"/>
        <color theme="1"/>
        <rFont val="Arial"/>
        <family val="2"/>
        <scheme val="minor"/>
      </rPr>
      <t xml:space="preserve"> դաշտում յուրաքանչյուր սյունակի համար տրվում է քանակային գումարը հաստիք 1-6 համար (քանի հատ հաստիք կա, քանի տող է լրացվել), </t>
    </r>
    <r>
      <rPr>
        <b/>
        <sz val="15"/>
        <color theme="1"/>
        <rFont val="Arial"/>
        <family val="2"/>
        <scheme val="minor"/>
      </rPr>
      <t>"հաստիքների արժեքներ"</t>
    </r>
    <r>
      <rPr>
        <sz val="15"/>
        <color theme="1"/>
        <rFont val="Arial"/>
        <family val="2"/>
        <scheme val="minor"/>
      </rPr>
      <t xml:space="preserve"> դաշտում յուրաքանչյուր սյունակի համար տրվում է արժեքային գումարը հաստիք 1-6 համար։ </t>
    </r>
    <r>
      <rPr>
        <b/>
        <sz val="15"/>
        <color theme="1"/>
        <rFont val="Arial"/>
        <family val="2"/>
        <scheme val="minor"/>
      </rPr>
      <t>"Ընդամենը հաստիքների քանակ"</t>
    </r>
    <r>
      <rPr>
        <sz val="15"/>
        <color theme="1"/>
        <rFont val="Arial"/>
        <family val="2"/>
        <scheme val="minor"/>
      </rPr>
      <t xml:space="preserve"> դաշտում տրվում է</t>
    </r>
    <r>
      <rPr>
        <b/>
        <sz val="15"/>
        <color theme="1"/>
        <rFont val="Arial"/>
        <family val="2"/>
        <scheme val="minor"/>
      </rPr>
      <t xml:space="preserve"> "հաստիքների քանակ"</t>
    </r>
    <r>
      <rPr>
        <sz val="15"/>
        <color theme="1"/>
        <rFont val="Arial"/>
        <family val="2"/>
        <scheme val="minor"/>
      </rPr>
      <t xml:space="preserve"> դաշտերի հանրագումարը 3 սյուների համար։</t>
    </r>
    <r>
      <rPr>
        <b/>
        <sz val="15"/>
        <color theme="1"/>
        <rFont val="Arial"/>
        <family val="2"/>
        <scheme val="minor"/>
      </rPr>
      <t xml:space="preserve"> "Ընդամենը աշխատավարձային ֆոնդ առձեռն"</t>
    </r>
    <r>
      <rPr>
        <sz val="15"/>
        <color theme="1"/>
        <rFont val="Arial"/>
        <family val="2"/>
        <scheme val="minor"/>
      </rPr>
      <t xml:space="preserve"> դաշտում դաշտում տրվում է "հաստիքների արժեքներ" դաշտերի հանրագումարը 3 սյուների համար։ "Դրոշմանիշային վճար" դաշտում ծրագիրը հաշվարկում է "ընդամենը հաստիքների քանակ" արժեքը բազմապատկում է 3000 դրամով։ Եկամտային հարկ դաշտում ծրագիրը հաշվարկում է եկամտային հարկի արժեք՝ ("Ընդամենը աշխատավարձային ֆոնդ առձեռն" արժեք  + "Դրոշմանիշային վճար" արժեք) / 0.75, և դրա 20 տոկոսը։ Սոցիալական վճար դաշտում ծրագիրը հաշվարկում է սոցվճարի արժեք՝ ("Ընդամենը աշխատավարձային ֆոնդ առձեռն" արժեք  + "Դրոշմանիշային վճար" արժեք) / 0.75, և դրա 5 տոկոսը։</t>
    </r>
    <r>
      <rPr>
        <b/>
        <sz val="15"/>
        <color theme="1"/>
        <rFont val="Arial"/>
        <family val="2"/>
        <scheme val="minor"/>
      </rPr>
      <t xml:space="preserve"> "Ընդամենը աշխատավարձ հարկերով"</t>
    </r>
    <r>
      <rPr>
        <sz val="15"/>
        <color theme="1"/>
        <rFont val="Arial"/>
        <family val="2"/>
        <scheme val="minor"/>
      </rPr>
      <t xml:space="preserve"> դաշտում ծրագիրը ավտոմատ հաշվարկում է հանրագումարը՝ </t>
    </r>
    <r>
      <rPr>
        <b/>
        <sz val="15"/>
        <color theme="1"/>
        <rFont val="Arial"/>
        <family val="2"/>
        <scheme val="minor"/>
      </rPr>
      <t xml:space="preserve">"Ընդամենը աշխատավարձային ֆոնդ առձեռն", "եկամտային հարկ", "սոցիալական վճար", "դրոշմանիշային վճար" </t>
    </r>
    <r>
      <rPr>
        <sz val="15"/>
        <color theme="1"/>
        <rFont val="Arial"/>
        <family val="2"/>
        <scheme val="minor"/>
      </rPr>
      <t xml:space="preserve">դաշտերի։ Այլ ծախսեր դաշտերի մեջ լրացնողի կողմից լրացվում են ծախսային արժեքները և դրանց մեկնաբանությունները՝ հարմարության համար։ </t>
    </r>
    <r>
      <rPr>
        <b/>
        <sz val="15"/>
        <color theme="1"/>
        <rFont val="Arial"/>
        <family val="2"/>
        <scheme val="minor"/>
      </rPr>
      <t xml:space="preserve">"Կազմակերպության շահույթ, տոկոս" </t>
    </r>
    <r>
      <rPr>
        <sz val="15"/>
        <color theme="1"/>
        <rFont val="Arial"/>
        <family val="2"/>
        <scheme val="minor"/>
      </rPr>
      <t xml:space="preserve">դաշտում լրացնողի կողմից լլացվում է մարժան (եկամտաբերությունը), դաշտի արժեքը տոկոսային։ Տոկոսը գրելուց հետո </t>
    </r>
    <r>
      <rPr>
        <b/>
        <sz val="15"/>
        <color theme="1"/>
        <rFont val="Arial"/>
        <family val="2"/>
        <scheme val="minor"/>
      </rPr>
      <t xml:space="preserve">"կազմակերպության շահույթ, դրամով" </t>
    </r>
    <r>
      <rPr>
        <sz val="15"/>
        <color theme="1"/>
        <rFont val="Arial"/>
        <family val="2"/>
        <scheme val="minor"/>
      </rPr>
      <t>դաշտում ծրագիրը ավտոմատ լրացնում է արժեքը, որը ծրագիրը հաշվարկում է (</t>
    </r>
    <r>
      <rPr>
        <b/>
        <sz val="15"/>
        <color theme="1"/>
        <rFont val="Arial"/>
        <family val="2"/>
        <scheme val="minor"/>
      </rPr>
      <t xml:space="preserve">"Ընդամենը աշխատավարձ հարկերով" + "այլ ծախսեր 1" +  "այլ ծախսեր 2"  +  "այլ ծախսեր 3" +  "այլ ծախսեր 4" +  "այլ ծախսեր 5") </t>
    </r>
    <r>
      <rPr>
        <sz val="15"/>
        <color theme="1"/>
        <rFont val="Arial"/>
        <family val="2"/>
        <scheme val="minor"/>
      </rPr>
      <t xml:space="preserve">դաշտերի հանրագումարի բազմապատկումը տոկոսով։ </t>
    </r>
    <r>
      <rPr>
        <b/>
        <sz val="15"/>
        <color theme="1"/>
        <rFont val="Arial"/>
        <family val="2"/>
        <scheme val="minor"/>
      </rPr>
      <t>"Ընդհանուր ծառայության արժեքը, ներառյալ հարկեր"</t>
    </r>
    <r>
      <rPr>
        <sz val="15"/>
        <color theme="1"/>
        <rFont val="Arial"/>
        <family val="2"/>
        <scheme val="minor"/>
      </rPr>
      <t xml:space="preserve"> դաշտը ծրագիրը լրացվում է ավտոմատ՝ ("Ընդամենը աշխատավարձ հարկերով" + "այլ ծախսեր 1" +  "այլ ծախսեր 2"  +  "այլ ծախսեր 3" +  "այլ ծախսեր 4" +  "այլ ծախսեր 5" + "կազմակերպության շահույթ, դրամով"-ի արժեք * 0.82) դաշտերի հանրագումարը։ </t>
    </r>
    <r>
      <rPr>
        <b/>
        <sz val="15"/>
        <color theme="1"/>
        <rFont val="Arial"/>
        <family val="2"/>
        <scheme val="minor"/>
      </rPr>
      <t xml:space="preserve">"ԱԱՀ վճարող (այո/ոչ)" </t>
    </r>
    <r>
      <rPr>
        <sz val="15"/>
        <color theme="1"/>
        <rFont val="Arial"/>
        <family val="2"/>
        <scheme val="minor"/>
      </rPr>
      <t xml:space="preserve">դաշտում լրացնողը ընտրում է կամ "այո", կամ "ոչ"։ </t>
    </r>
    <r>
      <rPr>
        <b/>
        <sz val="15"/>
        <color theme="1"/>
        <rFont val="Arial"/>
        <family val="2"/>
        <scheme val="minor"/>
      </rPr>
      <t>"ԱԱՀ, 20 տոկոս"</t>
    </r>
    <r>
      <rPr>
        <sz val="15"/>
        <color theme="1"/>
        <rFont val="Arial"/>
        <family val="2"/>
        <scheme val="minor"/>
      </rPr>
      <t xml:space="preserve"> դաշտում ծրագիրը ավտոմատ լրացնում է  "Ընդհանուր ծառայության արժեքը, ներառյալ հարկեր" դաշտի 20 տոկոսը, եթե լրացնողը նախորդ դաշտում ընտրել է "այո", և 0 արժեք,  եթե լրացնողը նախորդ դաշտում ընտրել է "ոչ"։ </t>
    </r>
    <r>
      <rPr>
        <b/>
        <sz val="15"/>
        <color theme="1"/>
        <rFont val="Arial"/>
        <family val="2"/>
        <scheme val="minor"/>
      </rPr>
      <t xml:space="preserve">"Ընդամենը արժեք" </t>
    </r>
    <r>
      <rPr>
        <sz val="15"/>
        <color theme="1"/>
        <rFont val="Arial"/>
        <family val="2"/>
        <scheme val="minor"/>
      </rPr>
      <t xml:space="preserve">դաշտում ծրագիրը ավտոմատ լրացնում է </t>
    </r>
    <r>
      <rPr>
        <b/>
        <sz val="15"/>
        <color theme="1"/>
        <rFont val="Arial"/>
        <family val="2"/>
        <scheme val="minor"/>
      </rPr>
      <t>"Ընդհանուր ծառայության արժեքը, ներառյալ հարկեր"</t>
    </r>
    <r>
      <rPr>
        <sz val="15"/>
        <color theme="1"/>
        <rFont val="Arial"/>
        <family val="2"/>
        <scheme val="minor"/>
      </rPr>
      <t xml:space="preserve"> և </t>
    </r>
    <r>
      <rPr>
        <b/>
        <sz val="15"/>
        <color theme="1"/>
        <rFont val="Arial"/>
        <family val="2"/>
        <scheme val="minor"/>
      </rPr>
      <t xml:space="preserve">"ԱԱՀ, 20 տոկոս" </t>
    </r>
    <r>
      <rPr>
        <sz val="15"/>
        <color theme="1"/>
        <rFont val="Arial"/>
        <family val="2"/>
        <scheme val="minor"/>
      </rPr>
      <t>դաշտերի հանրագումարը։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</si>
</sst>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 _₽_-;\-* #,##0\ _₽_-;_-* &quot;-&quot;??\ _₽_-;_-@_-"/>
    <numFmt numFmtId="166" formatCode="0.0%"/>
  </numFmts>
  <fonts count="26" x14ac:knownFonts="1">
    <font>
      <sz val="11"/>
      <color theme="1"/>
      <name val="Arial"/>
      <family val="2"/>
      <charset val="1"/>
      <scheme val="minor"/>
    </font>
    <font>
      <sz val="11"/>
      <color theme="1"/>
      <name val="Arial"/>
      <family val="2"/>
      <scheme val="minor"/>
    </font>
    <font>
      <sz val="11"/>
      <color theme="1"/>
      <name val="Arial"/>
      <family val="2"/>
      <scheme val="minor"/>
    </font>
    <font>
      <sz val="11"/>
      <color theme="1"/>
      <name val="Arial"/>
      <family val="2"/>
      <charset val="1"/>
      <scheme val="minor"/>
    </font>
    <font>
      <sz val="11"/>
      <color theme="1"/>
      <name val="Times New Roman"/>
      <family val="1"/>
      <charset val="204"/>
    </font>
    <font>
      <sz val="11"/>
      <color rgb="FFFF0000"/>
      <name val="Times New Roman"/>
      <family val="1"/>
      <charset val="204"/>
    </font>
    <font>
      <sz val="11"/>
      <color theme="1"/>
      <name val="Arial"/>
      <family val="2"/>
      <scheme val="minor"/>
    </font>
    <font>
      <b/>
      <sz val="12"/>
      <color theme="1"/>
      <name val="Arial"/>
      <family val="2"/>
      <charset val="204"/>
      <scheme val="minor"/>
    </font>
    <font>
      <sz val="12"/>
      <color theme="1"/>
      <name val="Arial"/>
      <family val="2"/>
      <charset val="204"/>
      <scheme val="minor"/>
    </font>
    <font>
      <b/>
      <sz val="11"/>
      <color theme="1"/>
      <name val="Arial"/>
      <family val="2"/>
      <charset val="204"/>
      <scheme val="minor"/>
    </font>
    <font>
      <i/>
      <sz val="11"/>
      <color theme="1"/>
      <name val="Arial"/>
      <family val="2"/>
      <charset val="204"/>
      <scheme val="minor"/>
    </font>
    <font>
      <b/>
      <i/>
      <sz val="11"/>
      <color theme="1"/>
      <name val="Arial"/>
      <family val="2"/>
      <charset val="204"/>
      <scheme val="minor"/>
    </font>
    <font>
      <b/>
      <sz val="11"/>
      <color theme="1"/>
      <name val="Arial"/>
      <family val="2"/>
      <scheme val="minor"/>
    </font>
    <font>
      <sz val="11"/>
      <name val="Arial"/>
      <family val="2"/>
      <charset val="1"/>
      <scheme val="minor"/>
    </font>
    <font>
      <sz val="11"/>
      <color rgb="FFFF0000"/>
      <name val="Arial"/>
      <family val="2"/>
      <scheme val="minor"/>
    </font>
    <font>
      <b/>
      <sz val="11"/>
      <color rgb="FFFF0000"/>
      <name val="Arial"/>
      <family val="2"/>
      <scheme val="minor"/>
    </font>
    <font>
      <sz val="6"/>
      <color rgb="FF494949"/>
      <name val="Courier New"/>
      <family val="3"/>
    </font>
    <font>
      <b/>
      <sz val="12"/>
      <color theme="1"/>
      <name val="Arial"/>
      <family val="2"/>
      <scheme val="minor"/>
    </font>
    <font>
      <sz val="14"/>
      <color theme="1"/>
      <name val="Arial"/>
      <family val="2"/>
      <scheme val="minor"/>
    </font>
    <font>
      <b/>
      <sz val="14"/>
      <color theme="1"/>
      <name val="Arial"/>
      <family val="2"/>
      <scheme val="minor"/>
    </font>
    <font>
      <sz val="13"/>
      <color theme="1"/>
      <name val="Arial"/>
      <family val="2"/>
      <charset val="1"/>
      <scheme val="minor"/>
    </font>
    <font>
      <b/>
      <sz val="13"/>
      <color theme="1"/>
      <name val="Arial"/>
      <family val="2"/>
      <scheme val="minor"/>
    </font>
    <font>
      <b/>
      <sz val="11"/>
      <color theme="1"/>
      <name val="Times New Roman"/>
      <family val="1"/>
    </font>
    <font>
      <sz val="11"/>
      <color theme="1"/>
      <name val="Times New Roman"/>
      <family val="1"/>
    </font>
    <font>
      <sz val="15"/>
      <color theme="1"/>
      <name val="Arial"/>
      <family val="2"/>
      <scheme val="minor"/>
    </font>
    <font>
      <b/>
      <sz val="15"/>
      <color theme="1"/>
      <name val="Arial"/>
      <family val="2"/>
      <scheme val="minor"/>
    </font>
  </fonts>
  <fills count="8">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5" tint="0.39997558519241921"/>
        <bgColor indexed="64"/>
      </patternFill>
    </fill>
  </fills>
  <borders count="2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5">
    <xf numFmtId="0" fontId="0" fillId="0" borderId="0"/>
    <xf numFmtId="9" fontId="3" fillId="0" borderId="0" applyFont="0" applyFill="0" applyBorder="0" applyAlignment="0" applyProtection="0"/>
    <xf numFmtId="164" fontId="6" fillId="0" borderId="0" applyFont="0" applyFill="0" applyBorder="0" applyAlignment="0" applyProtection="0"/>
    <xf numFmtId="0" fontId="6" fillId="0" borderId="0"/>
    <xf numFmtId="9" fontId="6" fillId="0" borderId="0" applyFont="0" applyFill="0" applyBorder="0" applyAlignment="0" applyProtection="0"/>
  </cellStyleXfs>
  <cellXfs count="158">
    <xf numFmtId="0" fontId="0" fillId="0" borderId="0" xfId="0"/>
    <xf numFmtId="0" fontId="4" fillId="0" borderId="0" xfId="0" applyFont="1"/>
    <xf numFmtId="165" fontId="7" fillId="0" borderId="6" xfId="2" applyNumberFormat="1" applyFont="1" applyBorder="1"/>
    <xf numFmtId="0" fontId="8" fillId="0" borderId="0" xfId="3" applyFont="1"/>
    <xf numFmtId="165" fontId="8" fillId="0" borderId="7" xfId="2" applyNumberFormat="1" applyFont="1" applyBorder="1"/>
    <xf numFmtId="165" fontId="8" fillId="0" borderId="3" xfId="2" applyNumberFormat="1" applyFont="1" applyBorder="1"/>
    <xf numFmtId="165" fontId="8" fillId="0" borderId="8" xfId="2" applyNumberFormat="1" applyFont="1" applyBorder="1"/>
    <xf numFmtId="165" fontId="8" fillId="0" borderId="9" xfId="2" applyNumberFormat="1" applyFont="1" applyBorder="1"/>
    <xf numFmtId="165" fontId="8" fillId="0" borderId="10" xfId="2" applyNumberFormat="1" applyFont="1" applyBorder="1"/>
    <xf numFmtId="165" fontId="8" fillId="0" borderId="11" xfId="2" applyNumberFormat="1" applyFont="1" applyBorder="1"/>
    <xf numFmtId="165" fontId="8" fillId="0" borderId="0" xfId="2" applyNumberFormat="1" applyFont="1"/>
    <xf numFmtId="9" fontId="0" fillId="0" borderId="0" xfId="1" applyFont="1"/>
    <xf numFmtId="0" fontId="6" fillId="0" borderId="0" xfId="3"/>
    <xf numFmtId="0" fontId="6" fillId="0" borderId="12" xfId="3" applyBorder="1"/>
    <xf numFmtId="0" fontId="6" fillId="0" borderId="13" xfId="3" applyBorder="1"/>
    <xf numFmtId="0" fontId="6" fillId="0" borderId="14" xfId="3" applyBorder="1"/>
    <xf numFmtId="0" fontId="6" fillId="0" borderId="15" xfId="3" applyBorder="1"/>
    <xf numFmtId="0" fontId="6" fillId="0" borderId="3" xfId="3" applyBorder="1" applyAlignment="1">
      <alignment horizontal="center"/>
    </xf>
    <xf numFmtId="0" fontId="6" fillId="0" borderId="0" xfId="3" applyAlignment="1">
      <alignment horizontal="center"/>
    </xf>
    <xf numFmtId="3" fontId="6" fillId="0" borderId="3" xfId="3" applyNumberFormat="1" applyBorder="1" applyAlignment="1">
      <alignment horizontal="center"/>
    </xf>
    <xf numFmtId="0" fontId="6" fillId="0" borderId="8" xfId="3" applyBorder="1" applyAlignment="1">
      <alignment horizontal="center"/>
    </xf>
    <xf numFmtId="3" fontId="6" fillId="5" borderId="3" xfId="3" applyNumberFormat="1" applyFill="1" applyBorder="1"/>
    <xf numFmtId="3" fontId="6" fillId="0" borderId="0" xfId="3" applyNumberFormat="1"/>
    <xf numFmtId="3" fontId="6" fillId="5" borderId="8" xfId="3" applyNumberFormat="1" applyFill="1" applyBorder="1"/>
    <xf numFmtId="0" fontId="6" fillId="0" borderId="16" xfId="3" applyBorder="1"/>
    <xf numFmtId="3" fontId="6" fillId="0" borderId="3" xfId="3" applyNumberFormat="1" applyBorder="1"/>
    <xf numFmtId="3" fontId="9" fillId="0" borderId="3" xfId="3" applyNumberFormat="1" applyFont="1" applyBorder="1"/>
    <xf numFmtId="3" fontId="9" fillId="0" borderId="0" xfId="3" applyNumberFormat="1" applyFont="1"/>
    <xf numFmtId="3" fontId="9" fillId="5" borderId="3" xfId="3" applyNumberFormat="1" applyFont="1" applyFill="1" applyBorder="1"/>
    <xf numFmtId="9" fontId="0" fillId="5" borderId="3" xfId="4" applyFont="1" applyFill="1" applyBorder="1" applyAlignment="1">
      <alignment horizontal="center"/>
    </xf>
    <xf numFmtId="3" fontId="9" fillId="5" borderId="3" xfId="3" applyNumberFormat="1" applyFont="1" applyFill="1" applyBorder="1" applyAlignment="1">
      <alignment horizontal="center"/>
    </xf>
    <xf numFmtId="0" fontId="6" fillId="0" borderId="19" xfId="3" applyBorder="1"/>
    <xf numFmtId="0" fontId="6" fillId="0" borderId="20" xfId="3" applyBorder="1"/>
    <xf numFmtId="3" fontId="6" fillId="0" borderId="20" xfId="3" applyNumberFormat="1" applyBorder="1"/>
    <xf numFmtId="0" fontId="6" fillId="0" borderId="21" xfId="3" applyBorder="1"/>
    <xf numFmtId="0" fontId="10" fillId="0" borderId="0" xfId="3" applyFont="1"/>
    <xf numFmtId="0" fontId="0" fillId="0" borderId="17" xfId="0" applyBorder="1" applyAlignment="1">
      <alignment wrapText="1"/>
    </xf>
    <xf numFmtId="3" fontId="0" fillId="0" borderId="17" xfId="0" applyNumberFormat="1" applyBorder="1"/>
    <xf numFmtId="166" fontId="0" fillId="0" borderId="17" xfId="1" applyNumberFormat="1" applyFont="1" applyBorder="1"/>
    <xf numFmtId="9" fontId="0" fillId="0" borderId="17" xfId="1" applyFont="1" applyBorder="1"/>
    <xf numFmtId="0" fontId="0" fillId="0" borderId="0" xfId="0" applyAlignment="1">
      <alignment wrapText="1"/>
    </xf>
    <xf numFmtId="0" fontId="6" fillId="0" borderId="3" xfId="3" applyBorder="1" applyAlignment="1">
      <alignment horizontal="center" wrapText="1"/>
    </xf>
    <xf numFmtId="3" fontId="0" fillId="0" borderId="0" xfId="0" applyNumberFormat="1"/>
    <xf numFmtId="0" fontId="12" fillId="0" borderId="0" xfId="0" applyFont="1" applyAlignment="1">
      <alignment wrapText="1"/>
    </xf>
    <xf numFmtId="0" fontId="0" fillId="0" borderId="3" xfId="0" applyBorder="1"/>
    <xf numFmtId="3" fontId="0" fillId="0" borderId="3" xfId="0" applyNumberFormat="1" applyBorder="1"/>
    <xf numFmtId="0" fontId="0" fillId="0" borderId="3" xfId="0" applyBorder="1" applyAlignment="1">
      <alignment wrapText="1"/>
    </xf>
    <xf numFmtId="0" fontId="0" fillId="0" borderId="0" xfId="0" applyAlignment="1">
      <alignment horizontal="center" vertical="center" wrapText="1"/>
    </xf>
    <xf numFmtId="0" fontId="0" fillId="4" borderId="17" xfId="0" applyFill="1" applyBorder="1"/>
    <xf numFmtId="3" fontId="0" fillId="4" borderId="17" xfId="0" applyNumberFormat="1" applyFill="1" applyBorder="1"/>
    <xf numFmtId="9" fontId="0" fillId="4" borderId="17" xfId="1" applyFont="1" applyFill="1" applyBorder="1"/>
    <xf numFmtId="0" fontId="13" fillId="0" borderId="17" xfId="0" applyFont="1" applyBorder="1" applyAlignment="1">
      <alignment wrapText="1"/>
    </xf>
    <xf numFmtId="3" fontId="0" fillId="2" borderId="17" xfId="0" applyNumberFormat="1" applyFill="1" applyBorder="1"/>
    <xf numFmtId="0" fontId="12" fillId="6" borderId="17" xfId="0" applyFont="1" applyFill="1" applyBorder="1" applyAlignment="1">
      <alignment horizontal="center" vertical="center" wrapText="1"/>
    </xf>
    <xf numFmtId="9" fontId="12" fillId="6" borderId="17" xfId="1" applyFont="1" applyFill="1" applyBorder="1" applyAlignment="1">
      <alignment horizontal="center" vertical="center" wrapText="1"/>
    </xf>
    <xf numFmtId="0" fontId="12" fillId="0" borderId="3" xfId="0" applyFont="1" applyBorder="1" applyAlignment="1">
      <alignment wrapText="1"/>
    </xf>
    <xf numFmtId="0" fontId="12" fillId="4" borderId="0" xfId="0" applyFont="1" applyFill="1"/>
    <xf numFmtId="3" fontId="12" fillId="0" borderId="3" xfId="0" applyNumberFormat="1" applyFont="1" applyBorder="1"/>
    <xf numFmtId="0" fontId="12" fillId="4" borderId="3" xfId="0" applyFont="1" applyFill="1" applyBorder="1" applyAlignment="1">
      <alignment wrapText="1"/>
    </xf>
    <xf numFmtId="3" fontId="0" fillId="4" borderId="3" xfId="0" applyNumberFormat="1" applyFill="1" applyBorder="1"/>
    <xf numFmtId="0" fontId="12" fillId="0" borderId="0" xfId="0" applyFont="1"/>
    <xf numFmtId="0" fontId="12" fillId="0" borderId="3" xfId="0" applyFont="1" applyBorder="1"/>
    <xf numFmtId="0" fontId="0" fillId="0" borderId="3" xfId="0" applyBorder="1" applyAlignment="1">
      <alignment vertical="center"/>
    </xf>
    <xf numFmtId="0" fontId="12" fillId="0" borderId="3" xfId="0" applyFont="1" applyBorder="1" applyAlignment="1">
      <alignment vertical="center"/>
    </xf>
    <xf numFmtId="3" fontId="12" fillId="0" borderId="0" xfId="0" applyNumberFormat="1" applyFont="1"/>
    <xf numFmtId="0" fontId="12" fillId="0" borderId="0" xfId="0" applyFont="1" applyAlignment="1">
      <alignment vertical="center"/>
    </xf>
    <xf numFmtId="0" fontId="4" fillId="7" borderId="0" xfId="0" applyFont="1" applyFill="1"/>
    <xf numFmtId="0" fontId="4" fillId="0" borderId="0" xfId="0" applyFont="1" applyAlignment="1">
      <alignment wrapText="1"/>
    </xf>
    <xf numFmtId="0" fontId="4" fillId="0" borderId="13" xfId="0" applyFont="1" applyBorder="1"/>
    <xf numFmtId="0" fontId="4" fillId="4" borderId="14" xfId="0" applyFont="1" applyFill="1" applyBorder="1"/>
    <xf numFmtId="0" fontId="4" fillId="4" borderId="16" xfId="0" applyFont="1" applyFill="1" applyBorder="1"/>
    <xf numFmtId="0" fontId="4" fillId="4" borderId="21" xfId="0" applyFont="1" applyFill="1" applyBorder="1"/>
    <xf numFmtId="0" fontId="16" fillId="0" borderId="0" xfId="0" applyFont="1" applyAlignment="1">
      <alignment vertical="center"/>
    </xf>
    <xf numFmtId="0" fontId="5" fillId="0" borderId="12" xfId="0" applyFont="1" applyBorder="1"/>
    <xf numFmtId="0" fontId="5" fillId="0" borderId="15" xfId="0" applyFont="1" applyBorder="1"/>
    <xf numFmtId="0" fontId="5" fillId="0" borderId="19" xfId="0" applyFont="1" applyBorder="1"/>
    <xf numFmtId="1" fontId="4" fillId="4" borderId="16" xfId="0" applyNumberFormat="1" applyFont="1" applyFill="1" applyBorder="1"/>
    <xf numFmtId="1" fontId="4" fillId="0" borderId="0" xfId="0" applyNumberFormat="1" applyFont="1"/>
    <xf numFmtId="0" fontId="0" fillId="0" borderId="13" xfId="0" applyBorder="1" applyAlignment="1">
      <alignment vertical="center" wrapText="1"/>
    </xf>
    <xf numFmtId="0" fontId="0" fillId="0" borderId="14" xfId="0" applyBorder="1" applyAlignment="1">
      <alignment vertical="center" wrapText="1"/>
    </xf>
    <xf numFmtId="0" fontId="0" fillId="0" borderId="0" xfId="0" applyAlignment="1">
      <alignment vertical="center" wrapText="1"/>
    </xf>
    <xf numFmtId="0" fontId="0" fillId="0" borderId="16"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12" fillId="4" borderId="3" xfId="0" applyFont="1" applyFill="1" applyBorder="1" applyAlignment="1">
      <alignment vertical="center"/>
    </xf>
    <xf numFmtId="3" fontId="12" fillId="4" borderId="3" xfId="0" applyNumberFormat="1" applyFont="1" applyFill="1" applyBorder="1"/>
    <xf numFmtId="0" fontId="12" fillId="5" borderId="3" xfId="0" applyFont="1" applyFill="1" applyBorder="1"/>
    <xf numFmtId="3" fontId="12" fillId="5" borderId="3" xfId="0" applyNumberFormat="1" applyFont="1" applyFill="1" applyBorder="1"/>
    <xf numFmtId="0" fontId="0" fillId="5" borderId="0" xfId="0" applyFill="1"/>
    <xf numFmtId="0" fontId="0" fillId="4" borderId="0" xfId="0" applyFill="1"/>
    <xf numFmtId="3" fontId="0" fillId="4" borderId="0" xfId="0" applyNumberFormat="1" applyFill="1"/>
    <xf numFmtId="0" fontId="12" fillId="4" borderId="3" xfId="0" applyFont="1" applyFill="1" applyBorder="1"/>
    <xf numFmtId="0" fontId="12" fillId="5" borderId="3" xfId="0" applyFont="1" applyFill="1" applyBorder="1" applyAlignment="1">
      <alignment wrapText="1"/>
    </xf>
    <xf numFmtId="0" fontId="12" fillId="5" borderId="0" xfId="0" applyFont="1" applyFill="1"/>
    <xf numFmtId="0" fontId="12" fillId="0" borderId="28" xfId="0" applyFont="1" applyBorder="1" applyAlignment="1">
      <alignment wrapText="1"/>
    </xf>
    <xf numFmtId="0" fontId="12" fillId="2" borderId="3" xfId="0" applyFont="1" applyFill="1" applyBorder="1" applyAlignment="1">
      <alignment wrapText="1"/>
    </xf>
    <xf numFmtId="3" fontId="12" fillId="2" borderId="3" xfId="0" applyNumberFormat="1" applyFont="1" applyFill="1" applyBorder="1"/>
    <xf numFmtId="3" fontId="12" fillId="2" borderId="3" xfId="0" applyNumberFormat="1" applyFont="1" applyFill="1" applyBorder="1" applyAlignment="1">
      <alignment wrapText="1"/>
    </xf>
    <xf numFmtId="0" fontId="12" fillId="2" borderId="0" xfId="0" applyFont="1" applyFill="1"/>
    <xf numFmtId="0" fontId="14" fillId="0" borderId="0" xfId="0" applyFont="1" applyAlignment="1">
      <alignment wrapText="1"/>
    </xf>
    <xf numFmtId="0" fontId="4" fillId="3" borderId="13" xfId="0" applyFont="1" applyFill="1" applyBorder="1"/>
    <xf numFmtId="0" fontId="4" fillId="3" borderId="0" xfId="0" applyFont="1" applyFill="1"/>
    <xf numFmtId="1" fontId="4" fillId="3" borderId="0" xfId="0" applyNumberFormat="1" applyFont="1" applyFill="1"/>
    <xf numFmtId="0" fontId="4" fillId="0" borderId="20" xfId="0" applyFont="1" applyBorder="1"/>
    <xf numFmtId="0" fontId="4" fillId="3" borderId="20" xfId="0" applyFont="1" applyFill="1" applyBorder="1"/>
    <xf numFmtId="0" fontId="9" fillId="0" borderId="8" xfId="3" applyFont="1" applyBorder="1" applyAlignment="1">
      <alignment horizontal="center" wrapText="1"/>
    </xf>
    <xf numFmtId="0" fontId="12" fillId="0" borderId="22" xfId="3" applyFont="1" applyBorder="1" applyAlignment="1">
      <alignment horizontal="center" vertical="center" textRotation="90"/>
    </xf>
    <xf numFmtId="0" fontId="12" fillId="0" borderId="23" xfId="3" applyFont="1" applyBorder="1" applyAlignment="1">
      <alignment horizontal="center" vertical="center" textRotation="90"/>
    </xf>
    <xf numFmtId="0" fontId="12" fillId="0" borderId="24" xfId="3" applyFont="1" applyBorder="1" applyAlignment="1">
      <alignment horizontal="center" vertical="center" textRotation="90"/>
    </xf>
    <xf numFmtId="0" fontId="12" fillId="4" borderId="25" xfId="3" applyFont="1" applyFill="1" applyBorder="1" applyAlignment="1">
      <alignment horizontal="center"/>
    </xf>
    <xf numFmtId="0" fontId="12" fillId="4" borderId="26" xfId="3" applyFont="1" applyFill="1" applyBorder="1" applyAlignment="1">
      <alignment horizontal="center"/>
    </xf>
    <xf numFmtId="0" fontId="12" fillId="4" borderId="27" xfId="3" applyFont="1" applyFill="1" applyBorder="1" applyAlignment="1">
      <alignment horizontal="center"/>
    </xf>
    <xf numFmtId="0" fontId="12" fillId="4" borderId="25" xfId="3" applyFont="1" applyFill="1" applyBorder="1" applyAlignment="1">
      <alignment horizontal="center" vertical="center" wrapText="1"/>
    </xf>
    <xf numFmtId="0" fontId="12" fillId="4" borderId="26" xfId="3" applyFont="1" applyFill="1" applyBorder="1" applyAlignment="1">
      <alignment horizontal="center" vertical="center" wrapText="1"/>
    </xf>
    <xf numFmtId="0" fontId="12" fillId="4" borderId="27" xfId="3" applyFont="1" applyFill="1" applyBorder="1" applyAlignment="1">
      <alignment horizontal="center" vertical="center" wrapText="1"/>
    </xf>
    <xf numFmtId="3" fontId="6" fillId="5" borderId="3" xfId="3" applyNumberFormat="1" applyFill="1" applyBorder="1" applyAlignment="1">
      <alignment horizontal="center"/>
    </xf>
    <xf numFmtId="0" fontId="9" fillId="0" borderId="3" xfId="3" applyFont="1" applyBorder="1" applyAlignment="1">
      <alignment horizontal="center"/>
    </xf>
    <xf numFmtId="0" fontId="9" fillId="0" borderId="1" xfId="3" applyFont="1" applyBorder="1" applyAlignment="1">
      <alignment horizontal="center"/>
    </xf>
    <xf numFmtId="0" fontId="9" fillId="0" borderId="2" xfId="3" applyFont="1" applyBorder="1" applyAlignment="1">
      <alignment horizontal="center"/>
    </xf>
    <xf numFmtId="3" fontId="2" fillId="0" borderId="17" xfId="3" applyNumberFormat="1" applyFont="1" applyBorder="1" applyAlignment="1">
      <alignment horizontal="center"/>
    </xf>
    <xf numFmtId="3" fontId="6" fillId="0" borderId="17" xfId="3" applyNumberFormat="1" applyBorder="1" applyAlignment="1">
      <alignment horizontal="center"/>
    </xf>
    <xf numFmtId="3" fontId="6" fillId="0" borderId="18" xfId="3" applyNumberFormat="1" applyBorder="1" applyAlignment="1">
      <alignment horizontal="center"/>
    </xf>
    <xf numFmtId="0" fontId="20" fillId="0" borderId="0" xfId="0" applyFont="1" applyAlignment="1">
      <alignment horizontal="left" vertical="top"/>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0" xfId="0"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18" fillId="0" borderId="0" xfId="0" applyFont="1" applyAlignment="1">
      <alignment horizontal="left" vertical="top" wrapText="1"/>
    </xf>
    <xf numFmtId="0" fontId="21" fillId="0" borderId="0" xfId="0" applyFont="1" applyAlignment="1">
      <alignment horizontal="left" vertical="top"/>
    </xf>
    <xf numFmtId="0" fontId="17" fillId="0" borderId="0" xfId="0" applyFont="1" applyAlignment="1">
      <alignment horizontal="left" vertical="top" wrapText="1"/>
    </xf>
    <xf numFmtId="0" fontId="22"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0" xfId="0" applyFont="1" applyAlignment="1">
      <alignment horizontal="left" vertical="top" wrapText="1"/>
    </xf>
    <xf numFmtId="0" fontId="4" fillId="0" borderId="16" xfId="0" applyFont="1" applyBorder="1" applyAlignment="1">
      <alignment horizontal="left" vertical="top" wrapText="1"/>
    </xf>
    <xf numFmtId="0" fontId="4" fillId="0" borderId="19" xfId="0" applyFont="1" applyBorder="1" applyAlignment="1">
      <alignment horizontal="left" vertical="top" wrapText="1"/>
    </xf>
    <xf numFmtId="0" fontId="4" fillId="0" borderId="20" xfId="0" applyFont="1" applyBorder="1" applyAlignment="1">
      <alignment horizontal="left" vertical="top" wrapText="1"/>
    </xf>
    <xf numFmtId="0" fontId="4" fillId="0" borderId="21" xfId="0" applyFont="1" applyBorder="1" applyAlignment="1">
      <alignment horizontal="left" vertical="top" wrapText="1"/>
    </xf>
    <xf numFmtId="0" fontId="23" fillId="0" borderId="12" xfId="0" applyFont="1" applyBorder="1" applyAlignment="1">
      <alignment horizontal="left" vertical="top" wrapText="1"/>
    </xf>
    <xf numFmtId="0" fontId="4" fillId="0" borderId="0" xfId="0" applyFont="1" applyAlignment="1">
      <alignment horizontal="center" wrapText="1"/>
    </xf>
    <xf numFmtId="165" fontId="7" fillId="0" borderId="4" xfId="2" applyNumberFormat="1" applyFont="1" applyBorder="1" applyAlignment="1">
      <alignment horizontal="center"/>
    </xf>
    <xf numFmtId="165" fontId="7" fillId="0" borderId="5" xfId="2" applyNumberFormat="1" applyFont="1" applyBorder="1" applyAlignment="1">
      <alignment horizontal="center"/>
    </xf>
    <xf numFmtId="0" fontId="1" fillId="0" borderId="0" xfId="3" applyFont="1"/>
    <xf numFmtId="0" fontId="6" fillId="0" borderId="0" xfId="3" applyBorder="1"/>
    <xf numFmtId="3" fontId="6" fillId="0" borderId="0" xfId="3" applyNumberFormat="1" applyBorder="1"/>
    <xf numFmtId="3" fontId="1" fillId="0" borderId="0" xfId="3" applyNumberFormat="1" applyFont="1"/>
    <xf numFmtId="0" fontId="24" fillId="0" borderId="12" xfId="3" applyFont="1" applyBorder="1" applyAlignment="1">
      <alignment horizontal="left" vertical="top" wrapText="1"/>
    </xf>
    <xf numFmtId="0" fontId="24" fillId="0" borderId="13" xfId="3" applyFont="1" applyBorder="1" applyAlignment="1">
      <alignment horizontal="left" vertical="top" wrapText="1"/>
    </xf>
    <xf numFmtId="0" fontId="24" fillId="0" borderId="14" xfId="3" applyFont="1" applyBorder="1" applyAlignment="1">
      <alignment horizontal="left" vertical="top" wrapText="1"/>
    </xf>
    <xf numFmtId="0" fontId="24" fillId="0" borderId="15" xfId="3" applyFont="1" applyBorder="1" applyAlignment="1">
      <alignment horizontal="left" vertical="top" wrapText="1"/>
    </xf>
    <xf numFmtId="0" fontId="24" fillId="0" borderId="0" xfId="3" applyFont="1" applyBorder="1" applyAlignment="1">
      <alignment horizontal="left" vertical="top" wrapText="1"/>
    </xf>
    <xf numFmtId="0" fontId="24" fillId="0" borderId="16" xfId="3" applyFont="1" applyBorder="1" applyAlignment="1">
      <alignment horizontal="left" vertical="top" wrapText="1"/>
    </xf>
    <xf numFmtId="0" fontId="24" fillId="0" borderId="19" xfId="3" applyFont="1" applyBorder="1" applyAlignment="1">
      <alignment horizontal="left" vertical="top" wrapText="1"/>
    </xf>
    <xf numFmtId="0" fontId="24" fillId="0" borderId="20" xfId="3" applyFont="1" applyBorder="1" applyAlignment="1">
      <alignment horizontal="left" vertical="top" wrapText="1"/>
    </xf>
    <xf numFmtId="0" fontId="24" fillId="0" borderId="21" xfId="3" applyFont="1" applyBorder="1" applyAlignment="1">
      <alignment horizontal="left" vertical="top" wrapText="1"/>
    </xf>
  </cellXfs>
  <cellStyles count="5">
    <cellStyle name="Обычный" xfId="0" builtinId="0"/>
    <cellStyle name="Обычный 2" xfId="3" xr:uid="{00000000-0005-0000-0000-000002000000}"/>
    <cellStyle name="Процентный" xfId="1" builtinId="5"/>
    <cellStyle name="Процентный 2" xfId="4" xr:uid="{00000000-0005-0000-0000-000003000000}"/>
    <cellStyle name="Финансовый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1:AF49"/>
  <sheetViews>
    <sheetView tabSelected="1" zoomScale="70" zoomScaleNormal="70" workbookViewId="0">
      <selection activeCell="M5" sqref="M5:AF38"/>
    </sheetView>
  </sheetViews>
  <sheetFormatPr defaultColWidth="9" defaultRowHeight="14.25" x14ac:dyDescent="0.2"/>
  <cols>
    <col min="1" max="1" width="0.375" style="12" customWidth="1"/>
    <col min="2" max="2" width="4.75" style="12" customWidth="1"/>
    <col min="3" max="3" width="27.125" style="12" customWidth="1"/>
    <col min="4" max="4" width="19.375" style="12" customWidth="1"/>
    <col min="5" max="5" width="15.75" style="12" customWidth="1"/>
    <col min="6" max="6" width="19.375" style="12" customWidth="1"/>
    <col min="7" max="7" width="0.375" style="12" customWidth="1"/>
    <col min="8" max="8" width="18.125" style="12" customWidth="1"/>
    <col min="9" max="9" width="21.375" style="12" customWidth="1"/>
    <col min="10" max="10" width="0.375" style="12" customWidth="1"/>
    <col min="11" max="11" width="20" style="12" customWidth="1"/>
    <col min="12" max="12" width="1.25" style="12" customWidth="1"/>
    <col min="13" max="13" width="9" style="12"/>
    <col min="14" max="14" width="12.875" style="12" customWidth="1"/>
    <col min="15" max="31" width="9" style="12"/>
    <col min="32" max="32" width="12.75" style="12" customWidth="1"/>
    <col min="33" max="16384" width="9" style="12"/>
  </cols>
  <sheetData>
    <row r="1" spans="2:32" ht="3.75" customHeight="1" thickBot="1" x14ac:dyDescent="0.25"/>
    <row r="2" spans="2:32" ht="15.75" thickBot="1" x14ac:dyDescent="0.3">
      <c r="B2" s="109" t="s">
        <v>66</v>
      </c>
      <c r="C2" s="110"/>
      <c r="D2" s="110"/>
      <c r="E2" s="110"/>
      <c r="F2" s="110"/>
      <c r="G2" s="110"/>
      <c r="H2" s="110"/>
      <c r="I2" s="110"/>
      <c r="J2" s="110"/>
      <c r="K2" s="111"/>
    </row>
    <row r="3" spans="2:32" ht="53.45" customHeight="1" thickBot="1" x14ac:dyDescent="0.25">
      <c r="B3" s="112" t="s">
        <v>134</v>
      </c>
      <c r="C3" s="113"/>
      <c r="D3" s="113"/>
      <c r="E3" s="113"/>
      <c r="F3" s="113"/>
      <c r="G3" s="113"/>
      <c r="H3" s="113"/>
      <c r="I3" s="113"/>
      <c r="J3" s="113"/>
      <c r="K3" s="114"/>
    </row>
    <row r="4" spans="2:32" ht="3.75" customHeight="1" thickBot="1" x14ac:dyDescent="0.25">
      <c r="B4" s="13"/>
      <c r="C4" s="14"/>
      <c r="D4" s="14"/>
      <c r="E4" s="14"/>
      <c r="F4" s="14"/>
      <c r="G4" s="14"/>
      <c r="H4" s="14"/>
      <c r="I4" s="14"/>
      <c r="J4" s="14"/>
      <c r="K4" s="15"/>
    </row>
    <row r="5" spans="2:32" ht="45" x14ac:dyDescent="0.25">
      <c r="B5" s="106" t="s">
        <v>64</v>
      </c>
      <c r="D5" s="116" t="s">
        <v>31</v>
      </c>
      <c r="E5" s="116"/>
      <c r="F5" s="116"/>
      <c r="H5" s="117" t="s">
        <v>32</v>
      </c>
      <c r="I5" s="118"/>
      <c r="K5" s="105" t="s">
        <v>33</v>
      </c>
      <c r="M5" s="149" t="s">
        <v>176</v>
      </c>
      <c r="N5" s="150"/>
      <c r="O5" s="150"/>
      <c r="P5" s="150"/>
      <c r="Q5" s="150"/>
      <c r="R5" s="150"/>
      <c r="S5" s="150"/>
      <c r="T5" s="150"/>
      <c r="U5" s="150"/>
      <c r="V5" s="150"/>
      <c r="W5" s="150"/>
      <c r="X5" s="150"/>
      <c r="Y5" s="150"/>
      <c r="Z5" s="150"/>
      <c r="AA5" s="150"/>
      <c r="AB5" s="150"/>
      <c r="AC5" s="150"/>
      <c r="AD5" s="150"/>
      <c r="AE5" s="150"/>
      <c r="AF5" s="151"/>
    </row>
    <row r="6" spans="2:32" ht="28.5" customHeight="1" x14ac:dyDescent="0.2">
      <c r="B6" s="107"/>
      <c r="D6" s="17" t="s">
        <v>34</v>
      </c>
      <c r="E6" s="17" t="s">
        <v>35</v>
      </c>
      <c r="F6" s="41" t="s">
        <v>36</v>
      </c>
      <c r="G6" s="18"/>
      <c r="H6" s="19" t="s">
        <v>37</v>
      </c>
      <c r="I6" s="41" t="s">
        <v>36</v>
      </c>
      <c r="J6" s="18"/>
      <c r="K6" s="20"/>
      <c r="M6" s="152"/>
      <c r="N6" s="153"/>
      <c r="O6" s="153"/>
      <c r="P6" s="153"/>
      <c r="Q6" s="153"/>
      <c r="R6" s="153"/>
      <c r="S6" s="153"/>
      <c r="T6" s="153"/>
      <c r="U6" s="153"/>
      <c r="V6" s="153"/>
      <c r="W6" s="153"/>
      <c r="X6" s="153"/>
      <c r="Y6" s="153"/>
      <c r="Z6" s="153"/>
      <c r="AA6" s="153"/>
      <c r="AB6" s="153"/>
      <c r="AC6" s="153"/>
      <c r="AD6" s="153"/>
      <c r="AE6" s="153"/>
      <c r="AF6" s="154"/>
    </row>
    <row r="7" spans="2:32" ht="14.25" customHeight="1" x14ac:dyDescent="0.2">
      <c r="B7" s="107"/>
      <c r="C7" s="12" t="s">
        <v>38</v>
      </c>
      <c r="D7" s="21"/>
      <c r="E7" s="21"/>
      <c r="F7" s="21"/>
      <c r="G7" s="22"/>
      <c r="H7" s="21"/>
      <c r="I7" s="21"/>
      <c r="K7" s="23">
        <v>120000</v>
      </c>
      <c r="M7" s="152"/>
      <c r="N7" s="153"/>
      <c r="O7" s="153"/>
      <c r="P7" s="153"/>
      <c r="Q7" s="153"/>
      <c r="R7" s="153"/>
      <c r="S7" s="153"/>
      <c r="T7" s="153"/>
      <c r="U7" s="153"/>
      <c r="V7" s="153"/>
      <c r="W7" s="153"/>
      <c r="X7" s="153"/>
      <c r="Y7" s="153"/>
      <c r="Z7" s="153"/>
      <c r="AA7" s="153"/>
      <c r="AB7" s="153"/>
      <c r="AC7" s="153"/>
      <c r="AD7" s="153"/>
      <c r="AE7" s="153"/>
      <c r="AF7" s="154"/>
    </row>
    <row r="8" spans="2:32" ht="14.25" customHeight="1" x14ac:dyDescent="0.2">
      <c r="B8" s="107"/>
      <c r="C8" s="12" t="s">
        <v>39</v>
      </c>
      <c r="D8" s="21"/>
      <c r="E8" s="21"/>
      <c r="F8" s="21"/>
      <c r="G8" s="22"/>
      <c r="H8" s="21"/>
      <c r="I8" s="21"/>
      <c r="K8" s="23"/>
      <c r="M8" s="152"/>
      <c r="N8" s="153"/>
      <c r="O8" s="153"/>
      <c r="P8" s="153"/>
      <c r="Q8" s="153"/>
      <c r="R8" s="153"/>
      <c r="S8" s="153"/>
      <c r="T8" s="153"/>
      <c r="U8" s="153"/>
      <c r="V8" s="153"/>
      <c r="W8" s="153"/>
      <c r="X8" s="153"/>
      <c r="Y8" s="153"/>
      <c r="Z8" s="153"/>
      <c r="AA8" s="153"/>
      <c r="AB8" s="153"/>
      <c r="AC8" s="153"/>
      <c r="AD8" s="153"/>
      <c r="AE8" s="153"/>
      <c r="AF8" s="154"/>
    </row>
    <row r="9" spans="2:32" ht="14.25" customHeight="1" x14ac:dyDescent="0.2">
      <c r="B9" s="107"/>
      <c r="C9" s="12" t="s">
        <v>40</v>
      </c>
      <c r="D9" s="21"/>
      <c r="E9" s="21"/>
      <c r="F9" s="21"/>
      <c r="G9" s="22"/>
      <c r="H9" s="21"/>
      <c r="I9" s="21"/>
      <c r="K9" s="23"/>
      <c r="M9" s="152"/>
      <c r="N9" s="153"/>
      <c r="O9" s="153"/>
      <c r="P9" s="153"/>
      <c r="Q9" s="153"/>
      <c r="R9" s="153"/>
      <c r="S9" s="153"/>
      <c r="T9" s="153"/>
      <c r="U9" s="153"/>
      <c r="V9" s="153"/>
      <c r="W9" s="153"/>
      <c r="X9" s="153"/>
      <c r="Y9" s="153"/>
      <c r="Z9" s="153"/>
      <c r="AA9" s="153"/>
      <c r="AB9" s="153"/>
      <c r="AC9" s="153"/>
      <c r="AD9" s="153"/>
      <c r="AE9" s="153"/>
      <c r="AF9" s="154"/>
    </row>
    <row r="10" spans="2:32" ht="14.25" customHeight="1" x14ac:dyDescent="0.2">
      <c r="B10" s="107"/>
      <c r="C10" s="12" t="s">
        <v>41</v>
      </c>
      <c r="D10" s="21"/>
      <c r="E10" s="21"/>
      <c r="F10" s="21"/>
      <c r="G10" s="22"/>
      <c r="H10" s="21"/>
      <c r="I10" s="21"/>
      <c r="K10" s="23"/>
      <c r="M10" s="152"/>
      <c r="N10" s="153"/>
      <c r="O10" s="153"/>
      <c r="P10" s="153"/>
      <c r="Q10" s="153"/>
      <c r="R10" s="153"/>
      <c r="S10" s="153"/>
      <c r="T10" s="153"/>
      <c r="U10" s="153"/>
      <c r="V10" s="153"/>
      <c r="W10" s="153"/>
      <c r="X10" s="153"/>
      <c r="Y10" s="153"/>
      <c r="Z10" s="153"/>
      <c r="AA10" s="153"/>
      <c r="AB10" s="153"/>
      <c r="AC10" s="153"/>
      <c r="AD10" s="153"/>
      <c r="AE10" s="153"/>
      <c r="AF10" s="154"/>
    </row>
    <row r="11" spans="2:32" ht="14.25" customHeight="1" x14ac:dyDescent="0.2">
      <c r="B11" s="107"/>
      <c r="C11" s="12" t="s">
        <v>42</v>
      </c>
      <c r="D11" s="21"/>
      <c r="E11" s="21"/>
      <c r="F11" s="21"/>
      <c r="G11" s="22"/>
      <c r="H11" s="21"/>
      <c r="I11" s="21"/>
      <c r="K11" s="23"/>
      <c r="M11" s="152"/>
      <c r="N11" s="153"/>
      <c r="O11" s="153"/>
      <c r="P11" s="153"/>
      <c r="Q11" s="153"/>
      <c r="R11" s="153"/>
      <c r="S11" s="153"/>
      <c r="T11" s="153"/>
      <c r="U11" s="153"/>
      <c r="V11" s="153"/>
      <c r="W11" s="153"/>
      <c r="X11" s="153"/>
      <c r="Y11" s="153"/>
      <c r="Z11" s="153"/>
      <c r="AA11" s="153"/>
      <c r="AB11" s="153"/>
      <c r="AC11" s="153"/>
      <c r="AD11" s="153"/>
      <c r="AE11" s="153"/>
      <c r="AF11" s="154"/>
    </row>
    <row r="12" spans="2:32" ht="14.25" customHeight="1" x14ac:dyDescent="0.2">
      <c r="B12" s="107"/>
      <c r="C12" s="12" t="s">
        <v>43</v>
      </c>
      <c r="D12" s="21"/>
      <c r="E12" s="21"/>
      <c r="F12" s="21"/>
      <c r="G12" s="22"/>
      <c r="H12" s="21"/>
      <c r="I12" s="21"/>
      <c r="K12" s="23"/>
      <c r="M12" s="152"/>
      <c r="N12" s="153"/>
      <c r="O12" s="153"/>
      <c r="P12" s="153"/>
      <c r="Q12" s="153"/>
      <c r="R12" s="153"/>
      <c r="S12" s="153"/>
      <c r="T12" s="153"/>
      <c r="U12" s="153"/>
      <c r="V12" s="153"/>
      <c r="W12" s="153"/>
      <c r="X12" s="153"/>
      <c r="Y12" s="153"/>
      <c r="Z12" s="153"/>
      <c r="AA12" s="153"/>
      <c r="AB12" s="153"/>
      <c r="AC12" s="153"/>
      <c r="AD12" s="153"/>
      <c r="AE12" s="153"/>
      <c r="AF12" s="154"/>
    </row>
    <row r="13" spans="2:32" ht="4.5" customHeight="1" x14ac:dyDescent="0.2">
      <c r="B13" s="107"/>
      <c r="D13" s="22"/>
      <c r="E13" s="22"/>
      <c r="F13" s="22"/>
      <c r="G13" s="22"/>
      <c r="H13" s="22"/>
      <c r="I13" s="22"/>
      <c r="K13" s="24"/>
      <c r="M13" s="152"/>
      <c r="N13" s="153"/>
      <c r="O13" s="153"/>
      <c r="P13" s="153"/>
      <c r="Q13" s="153"/>
      <c r="R13" s="153"/>
      <c r="S13" s="153"/>
      <c r="T13" s="153"/>
      <c r="U13" s="153"/>
      <c r="V13" s="153"/>
      <c r="W13" s="153"/>
      <c r="X13" s="153"/>
      <c r="Y13" s="153"/>
      <c r="Z13" s="153"/>
      <c r="AA13" s="153"/>
      <c r="AB13" s="153"/>
      <c r="AC13" s="153"/>
      <c r="AD13" s="153"/>
      <c r="AE13" s="153"/>
      <c r="AF13" s="154"/>
    </row>
    <row r="14" spans="2:32" ht="14.25" customHeight="1" x14ac:dyDescent="0.2">
      <c r="B14" s="107"/>
      <c r="D14" s="19" t="s">
        <v>34</v>
      </c>
      <c r="E14" s="19" t="s">
        <v>37</v>
      </c>
      <c r="F14" s="19" t="s">
        <v>44</v>
      </c>
      <c r="G14" s="22"/>
      <c r="K14" s="24"/>
      <c r="M14" s="152"/>
      <c r="N14" s="153"/>
      <c r="O14" s="153"/>
      <c r="P14" s="153"/>
      <c r="Q14" s="153"/>
      <c r="R14" s="153"/>
      <c r="S14" s="153"/>
      <c r="T14" s="153"/>
      <c r="U14" s="153"/>
      <c r="V14" s="153"/>
      <c r="W14" s="153"/>
      <c r="X14" s="153"/>
      <c r="Y14" s="153"/>
      <c r="Z14" s="153"/>
      <c r="AA14" s="153"/>
      <c r="AB14" s="153"/>
      <c r="AC14" s="153"/>
      <c r="AD14" s="153"/>
      <c r="AE14" s="153"/>
      <c r="AF14" s="154"/>
    </row>
    <row r="15" spans="2:32" ht="14.25" customHeight="1" x14ac:dyDescent="0.2">
      <c r="B15" s="107"/>
      <c r="C15" s="12" t="s">
        <v>38</v>
      </c>
      <c r="D15" s="25">
        <f>+D7*E7*F7</f>
        <v>0</v>
      </c>
      <c r="E15" s="25">
        <f>+H7*I7</f>
        <v>0</v>
      </c>
      <c r="F15" s="25">
        <f>+K7</f>
        <v>120000</v>
      </c>
      <c r="G15" s="22"/>
      <c r="K15" s="24"/>
      <c r="M15" s="152"/>
      <c r="N15" s="153"/>
      <c r="O15" s="153"/>
      <c r="P15" s="153"/>
      <c r="Q15" s="153"/>
      <c r="R15" s="153"/>
      <c r="S15" s="153"/>
      <c r="T15" s="153"/>
      <c r="U15" s="153"/>
      <c r="V15" s="153"/>
      <c r="W15" s="153"/>
      <c r="X15" s="153"/>
      <c r="Y15" s="153"/>
      <c r="Z15" s="153"/>
      <c r="AA15" s="153"/>
      <c r="AB15" s="153"/>
      <c r="AC15" s="153"/>
      <c r="AD15" s="153"/>
      <c r="AE15" s="153"/>
      <c r="AF15" s="154"/>
    </row>
    <row r="16" spans="2:32" ht="14.25" customHeight="1" x14ac:dyDescent="0.2">
      <c r="B16" s="107"/>
      <c r="C16" s="12" t="s">
        <v>39</v>
      </c>
      <c r="D16" s="25">
        <f>+D8*E8*F8</f>
        <v>0</v>
      </c>
      <c r="E16" s="25">
        <f>+H8*I8</f>
        <v>0</v>
      </c>
      <c r="F16" s="25">
        <f t="shared" ref="F16:F20" si="0">+K8</f>
        <v>0</v>
      </c>
      <c r="G16" s="22"/>
      <c r="K16" s="24"/>
      <c r="M16" s="152"/>
      <c r="N16" s="153"/>
      <c r="O16" s="153"/>
      <c r="P16" s="153"/>
      <c r="Q16" s="153"/>
      <c r="R16" s="153"/>
      <c r="S16" s="153"/>
      <c r="T16" s="153"/>
      <c r="U16" s="153"/>
      <c r="V16" s="153"/>
      <c r="W16" s="153"/>
      <c r="X16" s="153"/>
      <c r="Y16" s="153"/>
      <c r="Z16" s="153"/>
      <c r="AA16" s="153"/>
      <c r="AB16" s="153"/>
      <c r="AC16" s="153"/>
      <c r="AD16" s="153"/>
      <c r="AE16" s="153"/>
      <c r="AF16" s="154"/>
    </row>
    <row r="17" spans="2:32" ht="14.25" customHeight="1" x14ac:dyDescent="0.2">
      <c r="B17" s="107"/>
      <c r="C17" s="12" t="s">
        <v>40</v>
      </c>
      <c r="D17" s="25">
        <f t="shared" ref="D16:D19" si="1">+D9*E9*F9</f>
        <v>0</v>
      </c>
      <c r="E17" s="25">
        <f t="shared" ref="E16:E20" si="2">+H9*I9</f>
        <v>0</v>
      </c>
      <c r="F17" s="25">
        <f t="shared" si="0"/>
        <v>0</v>
      </c>
      <c r="G17" s="22"/>
      <c r="K17" s="24"/>
      <c r="M17" s="152"/>
      <c r="N17" s="153"/>
      <c r="O17" s="153"/>
      <c r="P17" s="153"/>
      <c r="Q17" s="153"/>
      <c r="R17" s="153"/>
      <c r="S17" s="153"/>
      <c r="T17" s="153"/>
      <c r="U17" s="153"/>
      <c r="V17" s="153"/>
      <c r="W17" s="153"/>
      <c r="X17" s="153"/>
      <c r="Y17" s="153"/>
      <c r="Z17" s="153"/>
      <c r="AA17" s="153"/>
      <c r="AB17" s="153"/>
      <c r="AC17" s="153"/>
      <c r="AD17" s="153"/>
      <c r="AE17" s="153"/>
      <c r="AF17" s="154"/>
    </row>
    <row r="18" spans="2:32" ht="14.25" customHeight="1" x14ac:dyDescent="0.2">
      <c r="B18" s="107"/>
      <c r="C18" s="12" t="s">
        <v>41</v>
      </c>
      <c r="D18" s="25">
        <f t="shared" si="1"/>
        <v>0</v>
      </c>
      <c r="E18" s="25">
        <f t="shared" si="2"/>
        <v>0</v>
      </c>
      <c r="F18" s="25">
        <f t="shared" si="0"/>
        <v>0</v>
      </c>
      <c r="G18" s="22"/>
      <c r="K18" s="24"/>
      <c r="M18" s="152"/>
      <c r="N18" s="153"/>
      <c r="O18" s="153"/>
      <c r="P18" s="153"/>
      <c r="Q18" s="153"/>
      <c r="R18" s="153"/>
      <c r="S18" s="153"/>
      <c r="T18" s="153"/>
      <c r="U18" s="153"/>
      <c r="V18" s="153"/>
      <c r="W18" s="153"/>
      <c r="X18" s="153"/>
      <c r="Y18" s="153"/>
      <c r="Z18" s="153"/>
      <c r="AA18" s="153"/>
      <c r="AB18" s="153"/>
      <c r="AC18" s="153"/>
      <c r="AD18" s="153"/>
      <c r="AE18" s="153"/>
      <c r="AF18" s="154"/>
    </row>
    <row r="19" spans="2:32" ht="14.25" customHeight="1" x14ac:dyDescent="0.2">
      <c r="B19" s="107"/>
      <c r="C19" s="12" t="s">
        <v>42</v>
      </c>
      <c r="D19" s="25">
        <f t="shared" si="1"/>
        <v>0</v>
      </c>
      <c r="E19" s="25">
        <f t="shared" si="2"/>
        <v>0</v>
      </c>
      <c r="F19" s="25">
        <f t="shared" si="0"/>
        <v>0</v>
      </c>
      <c r="G19" s="22"/>
      <c r="K19" s="24"/>
      <c r="M19" s="152"/>
      <c r="N19" s="153"/>
      <c r="O19" s="153"/>
      <c r="P19" s="153"/>
      <c r="Q19" s="153"/>
      <c r="R19" s="153"/>
      <c r="S19" s="153"/>
      <c r="T19" s="153"/>
      <c r="U19" s="153"/>
      <c r="V19" s="153"/>
      <c r="W19" s="153"/>
      <c r="X19" s="153"/>
      <c r="Y19" s="153"/>
      <c r="Z19" s="153"/>
      <c r="AA19" s="153"/>
      <c r="AB19" s="153"/>
      <c r="AC19" s="153"/>
      <c r="AD19" s="153"/>
      <c r="AE19" s="153"/>
      <c r="AF19" s="154"/>
    </row>
    <row r="20" spans="2:32" ht="14.25" customHeight="1" x14ac:dyDescent="0.2">
      <c r="B20" s="107"/>
      <c r="C20" s="12" t="s">
        <v>43</v>
      </c>
      <c r="D20" s="25">
        <f>+D12*E12*F12</f>
        <v>0</v>
      </c>
      <c r="E20" s="25">
        <f t="shared" si="2"/>
        <v>0</v>
      </c>
      <c r="F20" s="25">
        <f t="shared" si="0"/>
        <v>0</v>
      </c>
      <c r="G20" s="22"/>
      <c r="K20" s="24"/>
      <c r="M20" s="152"/>
      <c r="N20" s="153"/>
      <c r="O20" s="153"/>
      <c r="P20" s="153"/>
      <c r="Q20" s="153"/>
      <c r="R20" s="153"/>
      <c r="S20" s="153"/>
      <c r="T20" s="153"/>
      <c r="U20" s="153"/>
      <c r="V20" s="153"/>
      <c r="W20" s="153"/>
      <c r="X20" s="153"/>
      <c r="Y20" s="153"/>
      <c r="Z20" s="153"/>
      <c r="AA20" s="153"/>
      <c r="AB20" s="153"/>
      <c r="AC20" s="153"/>
      <c r="AD20" s="153"/>
      <c r="AE20" s="153"/>
      <c r="AF20" s="154"/>
    </row>
    <row r="21" spans="2:32" ht="15" customHeight="1" x14ac:dyDescent="0.25">
      <c r="B21" s="107"/>
      <c r="C21" s="12" t="s">
        <v>45</v>
      </c>
      <c r="D21" s="26">
        <f>COUNTIF(D15:D20,"&lt;&gt;0")</f>
        <v>0</v>
      </c>
      <c r="E21" s="26">
        <f>COUNTIF(E15:E20,"&lt;&gt;0")</f>
        <v>0</v>
      </c>
      <c r="F21" s="26">
        <f t="shared" ref="F21" si="3">COUNTIF(F15:F20,"&lt;&gt;0")</f>
        <v>1</v>
      </c>
      <c r="G21" s="22"/>
      <c r="H21" s="22"/>
      <c r="I21" s="22"/>
      <c r="K21" s="24"/>
      <c r="M21" s="152"/>
      <c r="N21" s="153"/>
      <c r="O21" s="153"/>
      <c r="P21" s="153"/>
      <c r="Q21" s="153"/>
      <c r="R21" s="153"/>
      <c r="S21" s="153"/>
      <c r="T21" s="153"/>
      <c r="U21" s="153"/>
      <c r="V21" s="153"/>
      <c r="W21" s="153"/>
      <c r="X21" s="153"/>
      <c r="Y21" s="153"/>
      <c r="Z21" s="153"/>
      <c r="AA21" s="153"/>
      <c r="AB21" s="153"/>
      <c r="AC21" s="153"/>
      <c r="AD21" s="153"/>
      <c r="AE21" s="153"/>
      <c r="AF21" s="154"/>
    </row>
    <row r="22" spans="2:32" ht="15" customHeight="1" x14ac:dyDescent="0.25">
      <c r="B22" s="107"/>
      <c r="C22" s="12" t="s">
        <v>46</v>
      </c>
      <c r="D22" s="26">
        <f>SUM(D15:D20)</f>
        <v>0</v>
      </c>
      <c r="E22" s="26">
        <f t="shared" ref="E22:F22" si="4">SUM(E15:E20)</f>
        <v>0</v>
      </c>
      <c r="F22" s="26">
        <f>SUM(F15:F20)</f>
        <v>120000</v>
      </c>
      <c r="G22" s="22"/>
      <c r="H22" s="22"/>
      <c r="I22" s="22"/>
      <c r="K22" s="24"/>
      <c r="M22" s="152"/>
      <c r="N22" s="153"/>
      <c r="O22" s="153"/>
      <c r="P22" s="153"/>
      <c r="Q22" s="153"/>
      <c r="R22" s="153"/>
      <c r="S22" s="153"/>
      <c r="T22" s="153"/>
      <c r="U22" s="153"/>
      <c r="V22" s="153"/>
      <c r="W22" s="153"/>
      <c r="X22" s="153"/>
      <c r="Y22" s="153"/>
      <c r="Z22" s="153"/>
      <c r="AA22" s="153"/>
      <c r="AB22" s="153"/>
      <c r="AC22" s="153"/>
      <c r="AD22" s="153"/>
      <c r="AE22" s="153"/>
      <c r="AF22" s="154"/>
    </row>
    <row r="23" spans="2:32" ht="4.5" customHeight="1" x14ac:dyDescent="0.2">
      <c r="B23" s="107"/>
      <c r="D23" s="22"/>
      <c r="E23" s="22"/>
      <c r="F23" s="22"/>
      <c r="G23" s="22"/>
      <c r="H23" s="22"/>
      <c r="I23" s="22"/>
      <c r="K23" s="24"/>
      <c r="M23" s="152"/>
      <c r="N23" s="153"/>
      <c r="O23" s="153"/>
      <c r="P23" s="153"/>
      <c r="Q23" s="153"/>
      <c r="R23" s="153"/>
      <c r="S23" s="153"/>
      <c r="T23" s="153"/>
      <c r="U23" s="153"/>
      <c r="V23" s="153"/>
      <c r="W23" s="153"/>
      <c r="X23" s="153"/>
      <c r="Y23" s="153"/>
      <c r="Z23" s="153"/>
      <c r="AA23" s="153"/>
      <c r="AB23" s="153"/>
      <c r="AC23" s="153"/>
      <c r="AD23" s="153"/>
      <c r="AE23" s="153"/>
      <c r="AF23" s="154"/>
    </row>
    <row r="24" spans="2:32" ht="15" customHeight="1" x14ac:dyDescent="0.25">
      <c r="B24" s="107"/>
      <c r="C24" s="145" t="s">
        <v>174</v>
      </c>
      <c r="D24" s="22"/>
      <c r="E24" s="22"/>
      <c r="F24" s="27">
        <f>+D21+E21+F21</f>
        <v>1</v>
      </c>
      <c r="G24" s="22"/>
      <c r="H24" s="22"/>
      <c r="I24" s="22"/>
      <c r="K24" s="24"/>
      <c r="M24" s="152"/>
      <c r="N24" s="153"/>
      <c r="O24" s="153"/>
      <c r="P24" s="153"/>
      <c r="Q24" s="153"/>
      <c r="R24" s="153"/>
      <c r="S24" s="153"/>
      <c r="T24" s="153"/>
      <c r="U24" s="153"/>
      <c r="V24" s="153"/>
      <c r="W24" s="153"/>
      <c r="X24" s="153"/>
      <c r="Y24" s="153"/>
      <c r="Z24" s="153"/>
      <c r="AA24" s="153"/>
      <c r="AB24" s="153"/>
      <c r="AC24" s="153"/>
      <c r="AD24" s="153"/>
      <c r="AE24" s="153"/>
      <c r="AF24" s="154"/>
    </row>
    <row r="25" spans="2:32" ht="15" customHeight="1" x14ac:dyDescent="0.25">
      <c r="B25" s="107"/>
      <c r="C25" s="12" t="s">
        <v>47</v>
      </c>
      <c r="D25" s="22"/>
      <c r="E25" s="22"/>
      <c r="F25" s="26">
        <f>SUM(D15:F20)</f>
        <v>120000</v>
      </c>
      <c r="G25" s="22"/>
      <c r="H25" s="22"/>
      <c r="I25" s="22"/>
      <c r="K25" s="24"/>
      <c r="M25" s="152"/>
      <c r="N25" s="153"/>
      <c r="O25" s="153"/>
      <c r="P25" s="153"/>
      <c r="Q25" s="153"/>
      <c r="R25" s="153"/>
      <c r="S25" s="153"/>
      <c r="T25" s="153"/>
      <c r="U25" s="153"/>
      <c r="V25" s="153"/>
      <c r="W25" s="153"/>
      <c r="X25" s="153"/>
      <c r="Y25" s="153"/>
      <c r="Z25" s="153"/>
      <c r="AA25" s="153"/>
      <c r="AB25" s="153"/>
      <c r="AC25" s="153"/>
      <c r="AD25" s="153"/>
      <c r="AE25" s="153"/>
      <c r="AF25" s="154"/>
    </row>
    <row r="26" spans="2:32" ht="6.75" customHeight="1" x14ac:dyDescent="0.2">
      <c r="B26" s="107"/>
      <c r="D26" s="22"/>
      <c r="E26" s="22"/>
      <c r="F26" s="22"/>
      <c r="G26" s="22"/>
      <c r="H26" s="22"/>
      <c r="I26" s="22"/>
      <c r="K26" s="24"/>
      <c r="M26" s="152"/>
      <c r="N26" s="153"/>
      <c r="O26" s="153"/>
      <c r="P26" s="153"/>
      <c r="Q26" s="153"/>
      <c r="R26" s="153"/>
      <c r="S26" s="153"/>
      <c r="T26" s="153"/>
      <c r="U26" s="153"/>
      <c r="V26" s="153"/>
      <c r="W26" s="153"/>
      <c r="X26" s="153"/>
      <c r="Y26" s="153"/>
      <c r="Z26" s="153"/>
      <c r="AA26" s="153"/>
      <c r="AB26" s="153"/>
      <c r="AC26" s="153"/>
      <c r="AD26" s="153"/>
      <c r="AE26" s="153"/>
      <c r="AF26" s="154"/>
    </row>
    <row r="27" spans="2:32" ht="14.25" customHeight="1" x14ac:dyDescent="0.2">
      <c r="B27" s="107"/>
      <c r="C27" s="12" t="s">
        <v>4</v>
      </c>
      <c r="D27" s="22"/>
      <c r="E27" s="22"/>
      <c r="F27" s="25">
        <f>0.2*(F25+F29)/0.75</f>
        <v>32800</v>
      </c>
      <c r="G27" s="22"/>
      <c r="H27" s="22"/>
      <c r="I27" s="22"/>
      <c r="K27" s="24"/>
      <c r="M27" s="152"/>
      <c r="N27" s="153"/>
      <c r="O27" s="153"/>
      <c r="P27" s="153"/>
      <c r="Q27" s="153"/>
      <c r="R27" s="153"/>
      <c r="S27" s="153"/>
      <c r="T27" s="153"/>
      <c r="U27" s="153"/>
      <c r="V27" s="153"/>
      <c r="W27" s="153"/>
      <c r="X27" s="153"/>
      <c r="Y27" s="153"/>
      <c r="Z27" s="153"/>
      <c r="AA27" s="153"/>
      <c r="AB27" s="153"/>
      <c r="AC27" s="153"/>
      <c r="AD27" s="153"/>
      <c r="AE27" s="153"/>
      <c r="AF27" s="154"/>
    </row>
    <row r="28" spans="2:32" ht="14.25" customHeight="1" x14ac:dyDescent="0.2">
      <c r="B28" s="107"/>
      <c r="C28" s="12" t="s">
        <v>48</v>
      </c>
      <c r="D28" s="22"/>
      <c r="E28" s="22"/>
      <c r="F28" s="25">
        <f>0.05*(F25+F29)/0.75</f>
        <v>8200</v>
      </c>
      <c r="G28" s="22"/>
      <c r="H28" s="22"/>
      <c r="I28" s="22"/>
      <c r="K28" s="24"/>
      <c r="M28" s="152"/>
      <c r="N28" s="153"/>
      <c r="O28" s="153"/>
      <c r="P28" s="153"/>
      <c r="Q28" s="153"/>
      <c r="R28" s="153"/>
      <c r="S28" s="153"/>
      <c r="T28" s="153"/>
      <c r="U28" s="153"/>
      <c r="V28" s="153"/>
      <c r="W28" s="153"/>
      <c r="X28" s="153"/>
      <c r="Y28" s="153"/>
      <c r="Z28" s="153"/>
      <c r="AA28" s="153"/>
      <c r="AB28" s="153"/>
      <c r="AC28" s="153"/>
      <c r="AD28" s="153"/>
      <c r="AE28" s="153"/>
      <c r="AF28" s="154"/>
    </row>
    <row r="29" spans="2:32" ht="14.25" customHeight="1" x14ac:dyDescent="0.2">
      <c r="B29" s="107"/>
      <c r="C29" s="12" t="s">
        <v>5</v>
      </c>
      <c r="D29" s="22"/>
      <c r="E29" s="22"/>
      <c r="F29" s="25">
        <f>+F24*3000</f>
        <v>3000</v>
      </c>
      <c r="G29" s="22"/>
      <c r="H29" s="22"/>
      <c r="I29" s="22"/>
      <c r="K29" s="24"/>
      <c r="M29" s="152"/>
      <c r="N29" s="153"/>
      <c r="O29" s="153"/>
      <c r="P29" s="153"/>
      <c r="Q29" s="153"/>
      <c r="R29" s="153"/>
      <c r="S29" s="153"/>
      <c r="T29" s="153"/>
      <c r="U29" s="153"/>
      <c r="V29" s="153"/>
      <c r="W29" s="153"/>
      <c r="X29" s="153"/>
      <c r="Y29" s="153"/>
      <c r="Z29" s="153"/>
      <c r="AA29" s="153"/>
      <c r="AB29" s="153"/>
      <c r="AC29" s="153"/>
      <c r="AD29" s="153"/>
      <c r="AE29" s="153"/>
      <c r="AF29" s="154"/>
    </row>
    <row r="30" spans="2:32" ht="15.75" customHeight="1" thickBot="1" x14ac:dyDescent="0.3">
      <c r="B30" s="108"/>
      <c r="C30" s="145" t="s">
        <v>49</v>
      </c>
      <c r="D30" s="22"/>
      <c r="E30" s="22"/>
      <c r="F30" s="26">
        <f>+F29+F27+F28+F25</f>
        <v>164000</v>
      </c>
      <c r="G30" s="22"/>
      <c r="H30" s="119" t="s">
        <v>133</v>
      </c>
      <c r="I30" s="120"/>
      <c r="J30" s="120"/>
      <c r="K30" s="121"/>
      <c r="M30" s="152"/>
      <c r="N30" s="153"/>
      <c r="O30" s="153"/>
      <c r="P30" s="153"/>
      <c r="Q30" s="153"/>
      <c r="R30" s="153"/>
      <c r="S30" s="153"/>
      <c r="T30" s="153"/>
      <c r="U30" s="153"/>
      <c r="V30" s="153"/>
      <c r="W30" s="153"/>
      <c r="X30" s="153"/>
      <c r="Y30" s="153"/>
      <c r="Z30" s="153"/>
      <c r="AA30" s="153"/>
      <c r="AB30" s="153"/>
      <c r="AC30" s="153"/>
      <c r="AD30" s="153"/>
      <c r="AE30" s="153"/>
      <c r="AF30" s="154"/>
    </row>
    <row r="31" spans="2:32" ht="15" customHeight="1" x14ac:dyDescent="0.25">
      <c r="B31" s="106" t="s">
        <v>65</v>
      </c>
      <c r="C31" s="12" t="s">
        <v>50</v>
      </c>
      <c r="D31" s="22"/>
      <c r="E31" s="22"/>
      <c r="F31" s="28"/>
      <c r="G31" s="22"/>
      <c r="H31" s="115"/>
      <c r="I31" s="115"/>
      <c r="J31" s="115"/>
      <c r="K31" s="115"/>
      <c r="M31" s="152"/>
      <c r="N31" s="153"/>
      <c r="O31" s="153"/>
      <c r="P31" s="153"/>
      <c r="Q31" s="153"/>
      <c r="R31" s="153"/>
      <c r="S31" s="153"/>
      <c r="T31" s="153"/>
      <c r="U31" s="153"/>
      <c r="V31" s="153"/>
      <c r="W31" s="153"/>
      <c r="X31" s="153"/>
      <c r="Y31" s="153"/>
      <c r="Z31" s="153"/>
      <c r="AA31" s="153"/>
      <c r="AB31" s="153"/>
      <c r="AC31" s="153"/>
      <c r="AD31" s="153"/>
      <c r="AE31" s="153"/>
      <c r="AF31" s="154"/>
    </row>
    <row r="32" spans="2:32" ht="15" customHeight="1" x14ac:dyDescent="0.25">
      <c r="B32" s="107"/>
      <c r="C32" s="12" t="s">
        <v>51</v>
      </c>
      <c r="D32" s="22"/>
      <c r="E32" s="22"/>
      <c r="F32" s="28"/>
      <c r="G32" s="22"/>
      <c r="H32" s="115"/>
      <c r="I32" s="115"/>
      <c r="J32" s="115"/>
      <c r="K32" s="115"/>
      <c r="M32" s="152"/>
      <c r="N32" s="153"/>
      <c r="O32" s="153"/>
      <c r="P32" s="153"/>
      <c r="Q32" s="153"/>
      <c r="R32" s="153"/>
      <c r="S32" s="153"/>
      <c r="T32" s="153"/>
      <c r="U32" s="153"/>
      <c r="V32" s="153"/>
      <c r="W32" s="153"/>
      <c r="X32" s="153"/>
      <c r="Y32" s="153"/>
      <c r="Z32" s="153"/>
      <c r="AA32" s="153"/>
      <c r="AB32" s="153"/>
      <c r="AC32" s="153"/>
      <c r="AD32" s="153"/>
      <c r="AE32" s="153"/>
      <c r="AF32" s="154"/>
    </row>
    <row r="33" spans="2:32" ht="15" customHeight="1" x14ac:dyDescent="0.25">
      <c r="B33" s="107"/>
      <c r="C33" s="12" t="s">
        <v>52</v>
      </c>
      <c r="D33" s="22"/>
      <c r="E33" s="22"/>
      <c r="F33" s="28">
        <v>100000</v>
      </c>
      <c r="G33" s="22"/>
      <c r="H33" s="115"/>
      <c r="I33" s="115"/>
      <c r="J33" s="115"/>
      <c r="K33" s="115"/>
      <c r="M33" s="152"/>
      <c r="N33" s="153"/>
      <c r="O33" s="153"/>
      <c r="P33" s="153"/>
      <c r="Q33" s="153"/>
      <c r="R33" s="153"/>
      <c r="S33" s="153"/>
      <c r="T33" s="153"/>
      <c r="U33" s="153"/>
      <c r="V33" s="153"/>
      <c r="W33" s="153"/>
      <c r="X33" s="153"/>
      <c r="Y33" s="153"/>
      <c r="Z33" s="153"/>
      <c r="AA33" s="153"/>
      <c r="AB33" s="153"/>
      <c r="AC33" s="153"/>
      <c r="AD33" s="153"/>
      <c r="AE33" s="153"/>
      <c r="AF33" s="154"/>
    </row>
    <row r="34" spans="2:32" ht="15" customHeight="1" x14ac:dyDescent="0.25">
      <c r="B34" s="107"/>
      <c r="C34" s="12" t="s">
        <v>53</v>
      </c>
      <c r="D34" s="22"/>
      <c r="E34" s="22"/>
      <c r="F34" s="28"/>
      <c r="G34" s="22"/>
      <c r="H34" s="115"/>
      <c r="I34" s="115"/>
      <c r="J34" s="115"/>
      <c r="K34" s="115"/>
      <c r="M34" s="152"/>
      <c r="N34" s="153"/>
      <c r="O34" s="153"/>
      <c r="P34" s="153"/>
      <c r="Q34" s="153"/>
      <c r="R34" s="153"/>
      <c r="S34" s="153"/>
      <c r="T34" s="153"/>
      <c r="U34" s="153"/>
      <c r="V34" s="153"/>
      <c r="W34" s="153"/>
      <c r="X34" s="153"/>
      <c r="Y34" s="153"/>
      <c r="Z34" s="153"/>
      <c r="AA34" s="153"/>
      <c r="AB34" s="153"/>
      <c r="AC34" s="153"/>
      <c r="AD34" s="153"/>
      <c r="AE34" s="153"/>
      <c r="AF34" s="154"/>
    </row>
    <row r="35" spans="2:32" ht="15.75" customHeight="1" thickBot="1" x14ac:dyDescent="0.3">
      <c r="B35" s="108"/>
      <c r="C35" s="12" t="s">
        <v>54</v>
      </c>
      <c r="D35" s="22"/>
      <c r="E35" s="22"/>
      <c r="F35" s="28"/>
      <c r="G35" s="22"/>
      <c r="H35" s="115"/>
      <c r="I35" s="115"/>
      <c r="J35" s="115"/>
      <c r="K35" s="115"/>
      <c r="M35" s="152"/>
      <c r="N35" s="153"/>
      <c r="O35" s="153"/>
      <c r="P35" s="153"/>
      <c r="Q35" s="153"/>
      <c r="R35" s="153"/>
      <c r="S35" s="153"/>
      <c r="T35" s="153"/>
      <c r="U35" s="153"/>
      <c r="V35" s="153"/>
      <c r="W35" s="153"/>
      <c r="X35" s="153"/>
      <c r="Y35" s="153"/>
      <c r="Z35" s="153"/>
      <c r="AA35" s="153"/>
      <c r="AB35" s="153"/>
      <c r="AC35" s="153"/>
      <c r="AD35" s="153"/>
      <c r="AE35" s="153"/>
      <c r="AF35" s="154"/>
    </row>
    <row r="36" spans="2:32" ht="5.25" customHeight="1" x14ac:dyDescent="0.2">
      <c r="B36" s="16"/>
      <c r="D36" s="22"/>
      <c r="F36" s="22"/>
      <c r="G36" s="22"/>
      <c r="H36" s="22"/>
      <c r="I36" s="22"/>
      <c r="K36" s="24"/>
      <c r="M36" s="152"/>
      <c r="N36" s="153"/>
      <c r="O36" s="153"/>
      <c r="P36" s="153"/>
      <c r="Q36" s="153"/>
      <c r="R36" s="153"/>
      <c r="S36" s="153"/>
      <c r="T36" s="153"/>
      <c r="U36" s="153"/>
      <c r="V36" s="153"/>
      <c r="W36" s="153"/>
      <c r="X36" s="153"/>
      <c r="Y36" s="153"/>
      <c r="Z36" s="153"/>
      <c r="AA36" s="153"/>
      <c r="AB36" s="153"/>
      <c r="AC36" s="153"/>
      <c r="AD36" s="153"/>
      <c r="AE36" s="153"/>
      <c r="AF36" s="154"/>
    </row>
    <row r="37" spans="2:32" x14ac:dyDescent="0.2">
      <c r="B37" s="16"/>
      <c r="C37" s="12" t="s">
        <v>55</v>
      </c>
      <c r="D37" s="22"/>
      <c r="F37" s="29">
        <v>0.13</v>
      </c>
      <c r="G37" s="22"/>
      <c r="H37" s="22"/>
      <c r="I37" s="22"/>
      <c r="K37" s="24"/>
      <c r="M37" s="152"/>
      <c r="N37" s="153"/>
      <c r="O37" s="153"/>
      <c r="P37" s="153"/>
      <c r="Q37" s="153"/>
      <c r="R37" s="153"/>
      <c r="S37" s="153"/>
      <c r="T37" s="153"/>
      <c r="U37" s="153"/>
      <c r="V37" s="153"/>
      <c r="W37" s="153"/>
      <c r="X37" s="153"/>
      <c r="Y37" s="153"/>
      <c r="Z37" s="153"/>
      <c r="AA37" s="153"/>
      <c r="AB37" s="153"/>
      <c r="AC37" s="153"/>
      <c r="AD37" s="153"/>
      <c r="AE37" s="153"/>
      <c r="AF37" s="154"/>
    </row>
    <row r="38" spans="2:32" ht="15" thickBot="1" x14ac:dyDescent="0.25">
      <c r="B38" s="16"/>
      <c r="C38" s="12" t="s">
        <v>56</v>
      </c>
      <c r="D38" s="22"/>
      <c r="F38" s="25">
        <f>+F37*(F31+F30+F32+F33+F34+F35)</f>
        <v>34320</v>
      </c>
      <c r="G38" s="22"/>
      <c r="H38" s="22"/>
      <c r="I38" s="22"/>
      <c r="K38" s="24"/>
      <c r="M38" s="155"/>
      <c r="N38" s="156"/>
      <c r="O38" s="156"/>
      <c r="P38" s="156"/>
      <c r="Q38" s="156"/>
      <c r="R38" s="156"/>
      <c r="S38" s="156"/>
      <c r="T38" s="156"/>
      <c r="U38" s="156"/>
      <c r="V38" s="156"/>
      <c r="W38" s="156"/>
      <c r="X38" s="156"/>
      <c r="Y38" s="156"/>
      <c r="Z38" s="156"/>
      <c r="AA38" s="156"/>
      <c r="AB38" s="156"/>
      <c r="AC38" s="156"/>
      <c r="AD38" s="156"/>
      <c r="AE38" s="156"/>
      <c r="AF38" s="157"/>
    </row>
    <row r="39" spans="2:32" ht="4.5" customHeight="1" x14ac:dyDescent="0.2">
      <c r="B39" s="16"/>
      <c r="D39" s="22"/>
      <c r="E39" s="22"/>
      <c r="F39" s="22"/>
      <c r="G39" s="22"/>
      <c r="H39" s="22"/>
      <c r="I39" s="22"/>
      <c r="K39" s="24"/>
      <c r="M39" s="147"/>
      <c r="N39" s="146"/>
      <c r="O39" s="146"/>
      <c r="P39" s="146"/>
      <c r="Q39" s="146"/>
      <c r="R39" s="146"/>
      <c r="S39" s="146"/>
      <c r="T39" s="146"/>
      <c r="U39" s="146"/>
      <c r="V39" s="146"/>
      <c r="W39" s="146"/>
      <c r="X39" s="146"/>
      <c r="Y39" s="146"/>
      <c r="Z39" s="146"/>
      <c r="AA39" s="146"/>
      <c r="AB39" s="146"/>
      <c r="AC39" s="146"/>
      <c r="AD39" s="146"/>
      <c r="AE39" s="146"/>
      <c r="AF39" s="146"/>
    </row>
    <row r="40" spans="2:32" ht="15" x14ac:dyDescent="0.25">
      <c r="B40" s="16"/>
      <c r="C40" s="145" t="s">
        <v>57</v>
      </c>
      <c r="D40" s="22"/>
      <c r="E40" s="22"/>
      <c r="F40" s="26">
        <f>+F30+F31+F32+F33+F34+F35+F38/0.82</f>
        <v>305853.6585365854</v>
      </c>
      <c r="G40" s="22"/>
      <c r="I40" s="22"/>
      <c r="K40" s="24"/>
      <c r="M40" s="146"/>
      <c r="N40" s="147"/>
      <c r="O40" s="146"/>
      <c r="P40" s="146"/>
      <c r="Q40" s="146"/>
      <c r="R40" s="146"/>
      <c r="S40" s="146"/>
      <c r="T40" s="146"/>
      <c r="U40" s="146"/>
      <c r="V40" s="146"/>
      <c r="W40" s="146"/>
      <c r="X40" s="146"/>
      <c r="Y40" s="146"/>
      <c r="Z40" s="146"/>
      <c r="AA40" s="146"/>
      <c r="AB40" s="146"/>
      <c r="AC40" s="146"/>
      <c r="AD40" s="146"/>
      <c r="AE40" s="146"/>
      <c r="AF40" s="146"/>
    </row>
    <row r="41" spans="2:32" ht="15" x14ac:dyDescent="0.25">
      <c r="B41" s="16"/>
      <c r="C41" s="22" t="s">
        <v>59</v>
      </c>
      <c r="D41" s="22"/>
      <c r="E41" s="22"/>
      <c r="F41" s="30" t="s">
        <v>132</v>
      </c>
      <c r="G41" s="22"/>
      <c r="H41" s="148" t="s">
        <v>58</v>
      </c>
      <c r="I41" s="22"/>
      <c r="K41" s="24"/>
    </row>
    <row r="42" spans="2:32" ht="15" x14ac:dyDescent="0.25">
      <c r="B42" s="16"/>
      <c r="C42" s="145" t="s">
        <v>60</v>
      </c>
      <c r="D42" s="22"/>
      <c r="E42" s="22"/>
      <c r="F42" s="26">
        <f>IF(F41="ոչ",0,IF(F41="այո",F40*0.2))</f>
        <v>0</v>
      </c>
      <c r="G42" s="22"/>
      <c r="K42" s="24"/>
      <c r="M42" s="22"/>
    </row>
    <row r="43" spans="2:32" ht="15" x14ac:dyDescent="0.25">
      <c r="B43" s="16"/>
      <c r="C43" s="145" t="s">
        <v>175</v>
      </c>
      <c r="D43" s="22"/>
      <c r="E43" s="22"/>
      <c r="F43" s="26">
        <f>+F42+F40</f>
        <v>305853.6585365854</v>
      </c>
      <c r="G43" s="22"/>
      <c r="H43" s="22"/>
      <c r="I43" s="22"/>
      <c r="K43" s="24"/>
    </row>
    <row r="44" spans="2:32" ht="15" thickBot="1" x14ac:dyDescent="0.25">
      <c r="B44" s="31"/>
      <c r="C44" s="32"/>
      <c r="D44" s="33"/>
      <c r="E44" s="33"/>
      <c r="F44" s="33"/>
      <c r="G44" s="33"/>
      <c r="H44" s="33"/>
      <c r="I44" s="33"/>
      <c r="J44" s="32"/>
      <c r="K44" s="34"/>
    </row>
    <row r="46" spans="2:32" x14ac:dyDescent="0.2">
      <c r="C46" s="35" t="s">
        <v>61</v>
      </c>
    </row>
    <row r="47" spans="2:32" x14ac:dyDescent="0.2">
      <c r="C47" s="35" t="s">
        <v>62</v>
      </c>
    </row>
    <row r="49" spans="3:3" x14ac:dyDescent="0.2">
      <c r="C49" s="35"/>
    </row>
  </sheetData>
  <mergeCells count="13">
    <mergeCell ref="B5:B30"/>
    <mergeCell ref="B31:B35"/>
    <mergeCell ref="B2:K2"/>
    <mergeCell ref="B3:K3"/>
    <mergeCell ref="H34:K34"/>
    <mergeCell ref="H35:K35"/>
    <mergeCell ref="D5:F5"/>
    <mergeCell ref="H5:I5"/>
    <mergeCell ref="H30:K30"/>
    <mergeCell ref="H31:K31"/>
    <mergeCell ref="H32:K32"/>
    <mergeCell ref="H33:K33"/>
    <mergeCell ref="M5:AF38"/>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K40"/>
  <sheetViews>
    <sheetView zoomScale="70" zoomScaleNormal="70" workbookViewId="0">
      <selection activeCell="A22" sqref="A22:K36"/>
    </sheetView>
  </sheetViews>
  <sheetFormatPr defaultRowHeight="14.25" x14ac:dyDescent="0.2"/>
  <cols>
    <col min="1" max="1" width="3.25" customWidth="1"/>
    <col min="2" max="2" width="124.75" customWidth="1"/>
    <col min="3" max="3" width="17.25" customWidth="1"/>
    <col min="4" max="4" width="17.875" customWidth="1"/>
    <col min="5" max="5" width="21.75" customWidth="1"/>
    <col min="6" max="6" width="20.125" customWidth="1"/>
    <col min="7" max="7" width="27.25" customWidth="1"/>
    <col min="8" max="8" width="18.75" customWidth="1"/>
    <col min="9" max="9" width="23.625" customWidth="1"/>
    <col min="10" max="10" width="16.375" style="11" customWidth="1"/>
    <col min="11" max="11" width="17.375" customWidth="1"/>
  </cols>
  <sheetData>
    <row r="1" spans="1:11" ht="15" x14ac:dyDescent="0.25">
      <c r="C1" s="60">
        <v>1</v>
      </c>
      <c r="D1" s="60">
        <v>2</v>
      </c>
      <c r="E1" s="60">
        <v>3</v>
      </c>
      <c r="F1" s="60">
        <v>4</v>
      </c>
      <c r="G1" s="60">
        <v>5</v>
      </c>
      <c r="H1" s="60">
        <v>6</v>
      </c>
      <c r="I1" s="60">
        <v>7</v>
      </c>
      <c r="J1" s="60">
        <v>8</v>
      </c>
      <c r="K1" s="60">
        <v>9</v>
      </c>
    </row>
    <row r="2" spans="1:11" s="47" customFormat="1" ht="90.75" customHeight="1" x14ac:dyDescent="0.2">
      <c r="B2" s="53" t="s">
        <v>7</v>
      </c>
      <c r="C2" s="53" t="s">
        <v>19</v>
      </c>
      <c r="D2" s="53" t="s">
        <v>63</v>
      </c>
      <c r="E2" s="53" t="s">
        <v>125</v>
      </c>
      <c r="F2" s="53" t="s">
        <v>126</v>
      </c>
      <c r="G2" s="53" t="s">
        <v>127</v>
      </c>
      <c r="H2" s="53" t="s">
        <v>131</v>
      </c>
      <c r="I2" s="53" t="s">
        <v>129</v>
      </c>
      <c r="J2" s="54" t="s">
        <v>128</v>
      </c>
      <c r="K2" s="53" t="s">
        <v>124</v>
      </c>
    </row>
    <row r="3" spans="1:11" ht="16.5" customHeight="1" x14ac:dyDescent="0.2">
      <c r="A3" s="36">
        <v>1</v>
      </c>
      <c r="B3" s="51" t="s">
        <v>8</v>
      </c>
      <c r="C3" s="52">
        <v>1000000</v>
      </c>
      <c r="D3" s="39">
        <v>0.1</v>
      </c>
      <c r="E3" s="52">
        <v>500000</v>
      </c>
      <c r="F3" s="52">
        <v>20000</v>
      </c>
      <c r="G3" s="38">
        <v>9.5000000000000001E-2</v>
      </c>
      <c r="H3" s="38">
        <v>0.01</v>
      </c>
      <c r="I3" s="37">
        <f>+C3*H3</f>
        <v>10000</v>
      </c>
      <c r="J3" s="38">
        <f>+K3/C3</f>
        <v>5.0599999999999999E-2</v>
      </c>
      <c r="K3" s="37">
        <f>IF(C3*D3-(E3+F3)*G3&gt;C3*0.01,C3*D3-(E3+F3)*G3,C3*0.01)</f>
        <v>50600</v>
      </c>
    </row>
    <row r="4" spans="1:11" ht="16.5" customHeight="1" x14ac:dyDescent="0.2">
      <c r="A4" s="36">
        <v>2</v>
      </c>
      <c r="B4" s="51" t="s">
        <v>9</v>
      </c>
      <c r="C4" s="52">
        <v>806580</v>
      </c>
      <c r="D4" s="39">
        <v>7.0000000000000007E-2</v>
      </c>
      <c r="E4" s="52">
        <v>64527</v>
      </c>
      <c r="F4" s="52">
        <v>550401</v>
      </c>
      <c r="G4" s="39">
        <v>0.05</v>
      </c>
      <c r="H4" s="38">
        <v>0.03</v>
      </c>
      <c r="I4" s="37">
        <f>+C4*H4</f>
        <v>24197.399999999998</v>
      </c>
      <c r="J4" s="38">
        <f>+K4/C4</f>
        <v>3.1880532619207029E-2</v>
      </c>
      <c r="K4" s="37">
        <f>IF(C4*D4-(E4+F4)*G4&gt;C4*0.03,C4*D4-(E4+F4)*G4,C4*0.03)</f>
        <v>25714.200000000004</v>
      </c>
    </row>
    <row r="5" spans="1:11" ht="42.75" x14ac:dyDescent="0.2">
      <c r="A5" s="36">
        <v>3</v>
      </c>
      <c r="B5" s="51" t="s">
        <v>10</v>
      </c>
      <c r="C5" s="52">
        <v>1000000</v>
      </c>
      <c r="D5" s="39">
        <v>0.12</v>
      </c>
      <c r="E5" s="52">
        <v>1000000</v>
      </c>
      <c r="F5" s="52"/>
      <c r="G5" s="39">
        <v>0.09</v>
      </c>
      <c r="H5" s="38">
        <v>3.5000000000000003E-2</v>
      </c>
      <c r="I5" s="37">
        <f>+C5*H5</f>
        <v>35000</v>
      </c>
      <c r="J5" s="38">
        <f>+K5/C5</f>
        <v>3.5000000000000003E-2</v>
      </c>
      <c r="K5" s="37">
        <f>IF(C5*D5-(E5+F5)*G5&gt;C5*0.035,C5*D5-(E5+F5)*G5,C5*0.035)</f>
        <v>35000</v>
      </c>
    </row>
    <row r="6" spans="1:11" ht="28.5" x14ac:dyDescent="0.2">
      <c r="A6" s="36">
        <v>4</v>
      </c>
      <c r="B6" s="51" t="s">
        <v>11</v>
      </c>
      <c r="C6" s="52">
        <v>1000000</v>
      </c>
      <c r="D6" s="39">
        <v>0.06</v>
      </c>
      <c r="E6" s="52">
        <v>500000</v>
      </c>
      <c r="F6" s="52">
        <v>400000</v>
      </c>
      <c r="G6" s="39">
        <v>0.03</v>
      </c>
      <c r="H6" s="38">
        <v>0.04</v>
      </c>
      <c r="I6" s="37">
        <f t="shared" ref="I6:I7" si="0">+C6*H6</f>
        <v>40000</v>
      </c>
      <c r="J6" s="38">
        <f>+K6/C6</f>
        <v>0.04</v>
      </c>
      <c r="K6" s="37">
        <f>IF(C6*D6-(E6+F6)*G6&gt;C6*0.04,C6*D6-(E6+F6)*G6,C6*0.04)</f>
        <v>40000</v>
      </c>
    </row>
    <row r="7" spans="1:11" x14ac:dyDescent="0.2">
      <c r="A7" s="36">
        <v>5</v>
      </c>
      <c r="B7" s="51" t="s">
        <v>12</v>
      </c>
      <c r="C7" s="52">
        <v>1000000</v>
      </c>
      <c r="D7" s="39">
        <v>0.1</v>
      </c>
      <c r="E7" s="52">
        <v>500000</v>
      </c>
      <c r="F7" s="52"/>
      <c r="G7" s="39">
        <v>0.06</v>
      </c>
      <c r="H7" s="38">
        <v>4.4999999999999998E-2</v>
      </c>
      <c r="I7" s="37">
        <f t="shared" si="0"/>
        <v>45000</v>
      </c>
      <c r="J7" s="38">
        <f>+K7/C7</f>
        <v>7.0000000000000007E-2</v>
      </c>
      <c r="K7" s="37">
        <f>IF(C7*D7-(E7+F7)*G7&gt;C7*0.045,C7*D7-(E7+F7)*G7,C7*0.045)</f>
        <v>70000</v>
      </c>
    </row>
    <row r="8" spans="1:11" x14ac:dyDescent="0.2">
      <c r="A8" s="36">
        <v>6</v>
      </c>
      <c r="B8" s="51" t="s">
        <v>13</v>
      </c>
      <c r="C8" s="52">
        <v>1000000</v>
      </c>
      <c r="D8" s="39">
        <v>0.05</v>
      </c>
      <c r="E8" s="48"/>
      <c r="F8" s="49"/>
      <c r="G8" s="50"/>
      <c r="H8" s="50"/>
      <c r="I8" s="50"/>
      <c r="J8" s="39">
        <v>0.05</v>
      </c>
      <c r="K8" s="37">
        <f t="shared" ref="K8:K10" si="1">+C8*D8</f>
        <v>50000</v>
      </c>
    </row>
    <row r="9" spans="1:11" x14ac:dyDescent="0.2">
      <c r="A9" s="36">
        <v>7</v>
      </c>
      <c r="B9" s="51" t="s">
        <v>14</v>
      </c>
      <c r="C9" s="52">
        <v>1000000</v>
      </c>
      <c r="D9" s="38">
        <v>1.4999999999999999E-2</v>
      </c>
      <c r="E9" s="48"/>
      <c r="F9" s="49"/>
      <c r="G9" s="50"/>
      <c r="H9" s="50"/>
      <c r="I9" s="50"/>
      <c r="J9" s="38">
        <v>1.4999999999999999E-2</v>
      </c>
      <c r="K9" s="37">
        <f t="shared" si="1"/>
        <v>15000</v>
      </c>
    </row>
    <row r="10" spans="1:11" x14ac:dyDescent="0.2">
      <c r="A10" s="36">
        <v>8</v>
      </c>
      <c r="B10" s="51" t="s">
        <v>15</v>
      </c>
      <c r="C10" s="52">
        <v>1000000</v>
      </c>
      <c r="D10" s="39">
        <v>0.1</v>
      </c>
      <c r="E10" s="48"/>
      <c r="F10" s="49"/>
      <c r="G10" s="50"/>
      <c r="H10" s="50"/>
      <c r="I10" s="50"/>
      <c r="J10" s="39">
        <v>0.1</v>
      </c>
      <c r="K10" s="37">
        <f t="shared" si="1"/>
        <v>100000</v>
      </c>
    </row>
    <row r="11" spans="1:11" ht="63" customHeight="1" x14ac:dyDescent="0.2">
      <c r="A11" s="36">
        <v>9</v>
      </c>
      <c r="B11" s="51" t="s">
        <v>18</v>
      </c>
      <c r="C11" s="52">
        <v>1000000</v>
      </c>
      <c r="D11" s="39">
        <v>0.2</v>
      </c>
      <c r="E11" s="48"/>
      <c r="F11" s="49"/>
      <c r="G11" s="50"/>
      <c r="H11" s="50"/>
      <c r="I11" s="50"/>
      <c r="J11" s="39">
        <v>0.2</v>
      </c>
      <c r="K11" s="37">
        <f>+C11*D11</f>
        <v>200000</v>
      </c>
    </row>
    <row r="12" spans="1:11" ht="28.5" x14ac:dyDescent="0.2">
      <c r="A12" s="36">
        <v>10</v>
      </c>
      <c r="B12" s="51" t="s">
        <v>16</v>
      </c>
      <c r="C12" s="52">
        <v>1000000</v>
      </c>
      <c r="D12" s="39">
        <v>0.01</v>
      </c>
      <c r="E12" s="48"/>
      <c r="F12" s="49"/>
      <c r="G12" s="50"/>
      <c r="H12" s="50"/>
      <c r="I12" s="50"/>
      <c r="J12" s="39">
        <v>0.01</v>
      </c>
      <c r="K12" s="37">
        <f>+C12*D12</f>
        <v>10000</v>
      </c>
    </row>
    <row r="13" spans="1:11" x14ac:dyDescent="0.2">
      <c r="A13" s="36">
        <v>11</v>
      </c>
      <c r="B13" s="51" t="s">
        <v>17</v>
      </c>
      <c r="C13" s="52">
        <v>1000000</v>
      </c>
      <c r="D13" s="39">
        <v>0.1</v>
      </c>
      <c r="E13" s="48"/>
      <c r="F13" s="49"/>
      <c r="G13" s="50"/>
      <c r="H13" s="50"/>
      <c r="I13" s="50"/>
      <c r="J13" s="39">
        <v>0.1</v>
      </c>
      <c r="K13" s="37">
        <f>+C13*D13</f>
        <v>100000</v>
      </c>
    </row>
    <row r="14" spans="1:11" ht="15" thickBot="1" x14ac:dyDescent="0.25"/>
    <row r="15" spans="1:11" ht="0.6" customHeight="1" thickBot="1" x14ac:dyDescent="0.25"/>
    <row r="16" spans="1:11" ht="14.45" customHeight="1" x14ac:dyDescent="0.2">
      <c r="A16" s="123" t="s">
        <v>149</v>
      </c>
      <c r="B16" s="124"/>
      <c r="C16" s="124"/>
      <c r="D16" s="124"/>
      <c r="E16" s="124"/>
      <c r="F16" s="78"/>
      <c r="G16" s="78"/>
      <c r="H16" s="79"/>
    </row>
    <row r="17" spans="1:11" x14ac:dyDescent="0.2">
      <c r="A17" s="125"/>
      <c r="B17" s="126"/>
      <c r="C17" s="126"/>
      <c r="D17" s="126"/>
      <c r="E17" s="126"/>
      <c r="F17" s="80"/>
      <c r="G17" s="80"/>
      <c r="H17" s="81"/>
    </row>
    <row r="18" spans="1:11" x14ac:dyDescent="0.2">
      <c r="A18" s="125"/>
      <c r="B18" s="126"/>
      <c r="C18" s="126"/>
      <c r="D18" s="126"/>
      <c r="E18" s="126"/>
      <c r="F18" s="80"/>
      <c r="G18" s="80"/>
      <c r="H18" s="81"/>
    </row>
    <row r="19" spans="1:11" ht="38.450000000000003" customHeight="1" thickBot="1" x14ac:dyDescent="0.25">
      <c r="A19" s="127"/>
      <c r="B19" s="128"/>
      <c r="C19" s="128"/>
      <c r="D19" s="128"/>
      <c r="E19" s="128"/>
      <c r="F19" s="82"/>
      <c r="G19" s="82"/>
      <c r="H19" s="83"/>
    </row>
    <row r="22" spans="1:11" x14ac:dyDescent="0.2">
      <c r="A22" s="129" t="s">
        <v>170</v>
      </c>
      <c r="B22" s="129"/>
      <c r="C22" s="129"/>
      <c r="D22" s="129"/>
      <c r="E22" s="129"/>
      <c r="F22" s="129"/>
      <c r="G22" s="129"/>
      <c r="H22" s="129"/>
      <c r="I22" s="129"/>
      <c r="J22" s="129"/>
      <c r="K22" s="129"/>
    </row>
    <row r="23" spans="1:11" x14ac:dyDescent="0.2">
      <c r="A23" s="129"/>
      <c r="B23" s="129"/>
      <c r="C23" s="129"/>
      <c r="D23" s="129"/>
      <c r="E23" s="129"/>
      <c r="F23" s="129"/>
      <c r="G23" s="129"/>
      <c r="H23" s="129"/>
      <c r="I23" s="129"/>
      <c r="J23" s="129"/>
      <c r="K23" s="129"/>
    </row>
    <row r="24" spans="1:11" x14ac:dyDescent="0.2">
      <c r="A24" s="129"/>
      <c r="B24" s="129"/>
      <c r="C24" s="129"/>
      <c r="D24" s="129"/>
      <c r="E24" s="129"/>
      <c r="F24" s="129"/>
      <c r="G24" s="129"/>
      <c r="H24" s="129"/>
      <c r="I24" s="129"/>
      <c r="J24" s="129"/>
      <c r="K24" s="129"/>
    </row>
    <row r="25" spans="1:11" x14ac:dyDescent="0.2">
      <c r="A25" s="129"/>
      <c r="B25" s="129"/>
      <c r="C25" s="129"/>
      <c r="D25" s="129"/>
      <c r="E25" s="129"/>
      <c r="F25" s="129"/>
      <c r="G25" s="129"/>
      <c r="H25" s="129"/>
      <c r="I25" s="129"/>
      <c r="J25" s="129"/>
      <c r="K25" s="129"/>
    </row>
    <row r="26" spans="1:11" x14ac:dyDescent="0.2">
      <c r="A26" s="129"/>
      <c r="B26" s="129"/>
      <c r="C26" s="129"/>
      <c r="D26" s="129"/>
      <c r="E26" s="129"/>
      <c r="F26" s="129"/>
      <c r="G26" s="129"/>
      <c r="H26" s="129"/>
      <c r="I26" s="129"/>
      <c r="J26" s="129"/>
      <c r="K26" s="129"/>
    </row>
    <row r="27" spans="1:11" x14ac:dyDescent="0.2">
      <c r="A27" s="129"/>
      <c r="B27" s="129"/>
      <c r="C27" s="129"/>
      <c r="D27" s="129"/>
      <c r="E27" s="129"/>
      <c r="F27" s="129"/>
      <c r="G27" s="129"/>
      <c r="H27" s="129"/>
      <c r="I27" s="129"/>
      <c r="J27" s="129"/>
      <c r="K27" s="129"/>
    </row>
    <row r="28" spans="1:11" x14ac:dyDescent="0.2">
      <c r="A28" s="129"/>
      <c r="B28" s="129"/>
      <c r="C28" s="129"/>
      <c r="D28" s="129"/>
      <c r="E28" s="129"/>
      <c r="F28" s="129"/>
      <c r="G28" s="129"/>
      <c r="H28" s="129"/>
      <c r="I28" s="129"/>
      <c r="J28" s="129"/>
      <c r="K28" s="129"/>
    </row>
    <row r="29" spans="1:11" x14ac:dyDescent="0.2">
      <c r="A29" s="129"/>
      <c r="B29" s="129"/>
      <c r="C29" s="129"/>
      <c r="D29" s="129"/>
      <c r="E29" s="129"/>
      <c r="F29" s="129"/>
      <c r="G29" s="129"/>
      <c r="H29" s="129"/>
      <c r="I29" s="129"/>
      <c r="J29" s="129"/>
      <c r="K29" s="129"/>
    </row>
    <row r="30" spans="1:11" ht="7.5" customHeight="1" x14ac:dyDescent="0.2">
      <c r="A30" s="129"/>
      <c r="B30" s="129"/>
      <c r="C30" s="129"/>
      <c r="D30" s="129"/>
      <c r="E30" s="129"/>
      <c r="F30" s="129"/>
      <c r="G30" s="129"/>
      <c r="H30" s="129"/>
      <c r="I30" s="129"/>
      <c r="J30" s="129"/>
      <c r="K30" s="129"/>
    </row>
    <row r="31" spans="1:11" hidden="1" x14ac:dyDescent="0.2">
      <c r="A31" s="129"/>
      <c r="B31" s="129"/>
      <c r="C31" s="129"/>
      <c r="D31" s="129"/>
      <c r="E31" s="129"/>
      <c r="F31" s="129"/>
      <c r="G31" s="129"/>
      <c r="H31" s="129"/>
      <c r="I31" s="129"/>
      <c r="J31" s="129"/>
      <c r="K31" s="129"/>
    </row>
    <row r="32" spans="1:11" hidden="1" x14ac:dyDescent="0.2">
      <c r="A32" s="129"/>
      <c r="B32" s="129"/>
      <c r="C32" s="129"/>
      <c r="D32" s="129"/>
      <c r="E32" s="129"/>
      <c r="F32" s="129"/>
      <c r="G32" s="129"/>
      <c r="H32" s="129"/>
      <c r="I32" s="129"/>
      <c r="J32" s="129"/>
      <c r="K32" s="129"/>
    </row>
    <row r="33" spans="1:11" hidden="1" x14ac:dyDescent="0.2">
      <c r="A33" s="129"/>
      <c r="B33" s="129"/>
      <c r="C33" s="129"/>
      <c r="D33" s="129"/>
      <c r="E33" s="129"/>
      <c r="F33" s="129"/>
      <c r="G33" s="129"/>
      <c r="H33" s="129"/>
      <c r="I33" s="129"/>
      <c r="J33" s="129"/>
      <c r="K33" s="129"/>
    </row>
    <row r="34" spans="1:11" hidden="1" x14ac:dyDescent="0.2">
      <c r="A34" s="129"/>
      <c r="B34" s="129"/>
      <c r="C34" s="129"/>
      <c r="D34" s="129"/>
      <c r="E34" s="129"/>
      <c r="F34" s="129"/>
      <c r="G34" s="129"/>
      <c r="H34" s="129"/>
      <c r="I34" s="129"/>
      <c r="J34" s="129"/>
      <c r="K34" s="129"/>
    </row>
    <row r="35" spans="1:11" hidden="1" x14ac:dyDescent="0.2">
      <c r="A35" s="129"/>
      <c r="B35" s="129"/>
      <c r="C35" s="129"/>
      <c r="D35" s="129"/>
      <c r="E35" s="129"/>
      <c r="F35" s="129"/>
      <c r="G35" s="129"/>
      <c r="H35" s="129"/>
      <c r="I35" s="129"/>
      <c r="J35" s="129"/>
      <c r="K35" s="129"/>
    </row>
    <row r="36" spans="1:11" hidden="1" x14ac:dyDescent="0.2">
      <c r="A36" s="129"/>
      <c r="B36" s="129"/>
      <c r="C36" s="129"/>
      <c r="D36" s="129"/>
      <c r="E36" s="129"/>
      <c r="F36" s="129"/>
      <c r="G36" s="129"/>
      <c r="H36" s="129"/>
      <c r="I36" s="129"/>
      <c r="J36" s="129"/>
      <c r="K36" s="129"/>
    </row>
    <row r="37" spans="1:11" ht="16.5" x14ac:dyDescent="0.2">
      <c r="A37" s="130" t="s">
        <v>171</v>
      </c>
      <c r="B37" s="130"/>
      <c r="C37" s="130"/>
      <c r="D37" s="130"/>
      <c r="E37" s="130"/>
      <c r="F37" s="130"/>
      <c r="G37" s="130"/>
      <c r="H37" s="130"/>
      <c r="I37" s="130"/>
      <c r="J37" s="130"/>
      <c r="K37" s="130"/>
    </row>
    <row r="38" spans="1:11" ht="16.5" x14ac:dyDescent="0.2">
      <c r="A38" s="122"/>
      <c r="B38" s="122"/>
      <c r="C38" s="122"/>
      <c r="D38" s="122"/>
      <c r="E38" s="122"/>
      <c r="F38" s="122"/>
      <c r="G38" s="122"/>
      <c r="H38" s="122"/>
      <c r="I38" s="122"/>
      <c r="J38" s="122"/>
      <c r="K38" s="122"/>
    </row>
    <row r="39" spans="1:11" ht="16.5" x14ac:dyDescent="0.2">
      <c r="A39" s="122"/>
      <c r="B39" s="122"/>
      <c r="C39" s="122"/>
      <c r="D39" s="122"/>
      <c r="E39" s="122"/>
      <c r="F39" s="122"/>
      <c r="G39" s="122"/>
      <c r="H39" s="122"/>
      <c r="I39" s="122"/>
      <c r="J39" s="122"/>
      <c r="K39" s="122"/>
    </row>
    <row r="40" spans="1:11" ht="16.5" x14ac:dyDescent="0.2">
      <c r="A40" s="122"/>
      <c r="B40" s="122"/>
      <c r="C40" s="122"/>
      <c r="D40" s="122"/>
      <c r="E40" s="122"/>
      <c r="F40" s="122"/>
      <c r="G40" s="122"/>
      <c r="H40" s="122"/>
      <c r="I40" s="122"/>
      <c r="J40" s="122"/>
      <c r="K40" s="122"/>
    </row>
  </sheetData>
  <mergeCells count="6">
    <mergeCell ref="A39:K39"/>
    <mergeCell ref="A40:K40"/>
    <mergeCell ref="A16:E19"/>
    <mergeCell ref="A22:K36"/>
    <mergeCell ref="A37:K37"/>
    <mergeCell ref="A38:K38"/>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B4:I122"/>
  <sheetViews>
    <sheetView topLeftCell="A85" zoomScale="80" zoomScaleNormal="80" workbookViewId="0">
      <selection activeCell="C129" sqref="C129"/>
    </sheetView>
  </sheetViews>
  <sheetFormatPr defaultRowHeight="14.25" x14ac:dyDescent="0.2"/>
  <cols>
    <col min="1" max="1" width="1.125" customWidth="1"/>
    <col min="2" max="2" width="3.75" customWidth="1"/>
    <col min="3" max="3" width="132.75" customWidth="1"/>
    <col min="4" max="4" width="25" style="42" customWidth="1"/>
    <col min="5" max="5" width="1.75" customWidth="1"/>
    <col min="6" max="6" width="9.875" customWidth="1"/>
  </cols>
  <sheetData>
    <row r="4" spans="2:4" s="89" customFormat="1" ht="15" x14ac:dyDescent="0.25">
      <c r="C4" s="56" t="s">
        <v>135</v>
      </c>
      <c r="D4" s="90"/>
    </row>
    <row r="5" spans="2:4" ht="15.75" customHeight="1" x14ac:dyDescent="0.2">
      <c r="B5" s="44">
        <v>1</v>
      </c>
      <c r="C5" s="44" t="s">
        <v>20</v>
      </c>
      <c r="D5" s="45"/>
    </row>
    <row r="6" spans="2:4" x14ac:dyDescent="0.2">
      <c r="B6" s="44">
        <v>2</v>
      </c>
      <c r="C6" s="44" t="s">
        <v>21</v>
      </c>
      <c r="D6" s="45"/>
    </row>
    <row r="7" spans="2:4" x14ac:dyDescent="0.2">
      <c r="B7" s="44">
        <v>3</v>
      </c>
      <c r="C7" s="44" t="s">
        <v>22</v>
      </c>
      <c r="D7" s="45"/>
    </row>
    <row r="8" spans="2:4" x14ac:dyDescent="0.2">
      <c r="B8" s="44">
        <v>4</v>
      </c>
      <c r="C8" s="44" t="s">
        <v>23</v>
      </c>
      <c r="D8" s="45"/>
    </row>
    <row r="9" spans="2:4" x14ac:dyDescent="0.2">
      <c r="B9" s="44">
        <v>5</v>
      </c>
      <c r="C9" s="44" t="s">
        <v>24</v>
      </c>
      <c r="D9" s="45"/>
    </row>
    <row r="10" spans="2:4" x14ac:dyDescent="0.2">
      <c r="B10" s="44">
        <v>6</v>
      </c>
      <c r="C10" s="44" t="s">
        <v>25</v>
      </c>
      <c r="D10" s="45"/>
    </row>
    <row r="11" spans="2:4" x14ac:dyDescent="0.2">
      <c r="B11" s="44">
        <v>7</v>
      </c>
      <c r="C11" s="44" t="s">
        <v>26</v>
      </c>
      <c r="D11" s="45"/>
    </row>
    <row r="12" spans="2:4" x14ac:dyDescent="0.2">
      <c r="B12" s="44">
        <v>8</v>
      </c>
      <c r="C12" s="44" t="s">
        <v>27</v>
      </c>
      <c r="D12" s="45"/>
    </row>
    <row r="13" spans="2:4" ht="15.75" customHeight="1" x14ac:dyDescent="0.2">
      <c r="B13" s="44">
        <v>9</v>
      </c>
      <c r="C13" s="44" t="s">
        <v>28</v>
      </c>
      <c r="D13" s="45"/>
    </row>
    <row r="14" spans="2:4" x14ac:dyDescent="0.2">
      <c r="B14" s="44">
        <v>10</v>
      </c>
      <c r="C14" s="44" t="s">
        <v>69</v>
      </c>
      <c r="D14" s="45"/>
    </row>
    <row r="15" spans="2:4" x14ac:dyDescent="0.2">
      <c r="B15" s="44">
        <v>11</v>
      </c>
      <c r="C15" s="44" t="s">
        <v>29</v>
      </c>
      <c r="D15" s="45"/>
    </row>
    <row r="16" spans="2:4" x14ac:dyDescent="0.2">
      <c r="B16" s="44">
        <v>12</v>
      </c>
      <c r="C16" s="44" t="s">
        <v>30</v>
      </c>
      <c r="D16" s="45"/>
    </row>
    <row r="17" spans="2:4" x14ac:dyDescent="0.2">
      <c r="B17" s="44">
        <v>13</v>
      </c>
      <c r="C17" s="44" t="s">
        <v>67</v>
      </c>
      <c r="D17" s="45"/>
    </row>
    <row r="18" spans="2:4" x14ac:dyDescent="0.2">
      <c r="B18" s="44">
        <v>14</v>
      </c>
      <c r="C18" s="44" t="s">
        <v>68</v>
      </c>
      <c r="D18" s="45"/>
    </row>
    <row r="19" spans="2:4" x14ac:dyDescent="0.2">
      <c r="B19" s="44">
        <v>15</v>
      </c>
      <c r="C19" s="44" t="s">
        <v>70</v>
      </c>
      <c r="D19" s="45"/>
    </row>
    <row r="20" spans="2:4" ht="15" customHeight="1" x14ac:dyDescent="0.2">
      <c r="B20" s="44">
        <v>16</v>
      </c>
      <c r="C20" s="46" t="s">
        <v>116</v>
      </c>
      <c r="D20" s="45"/>
    </row>
    <row r="21" spans="2:4" x14ac:dyDescent="0.2">
      <c r="B21" s="44">
        <v>17</v>
      </c>
      <c r="C21" s="44" t="s">
        <v>71</v>
      </c>
      <c r="D21" s="45"/>
    </row>
    <row r="22" spans="2:4" ht="18.75" customHeight="1" x14ac:dyDescent="0.2">
      <c r="B22" s="44">
        <v>18</v>
      </c>
      <c r="C22" s="46" t="s">
        <v>73</v>
      </c>
      <c r="D22" s="45"/>
    </row>
    <row r="23" spans="2:4" x14ac:dyDescent="0.2">
      <c r="B23" s="44">
        <v>19</v>
      </c>
      <c r="C23" s="44" t="s">
        <v>72</v>
      </c>
      <c r="D23" s="45"/>
    </row>
    <row r="24" spans="2:4" x14ac:dyDescent="0.2">
      <c r="B24" s="44">
        <v>20</v>
      </c>
      <c r="C24" s="46" t="s">
        <v>74</v>
      </c>
      <c r="D24" s="45"/>
    </row>
    <row r="25" spans="2:4" ht="17.25" customHeight="1" x14ac:dyDescent="0.2">
      <c r="B25" s="44">
        <v>21</v>
      </c>
      <c r="C25" s="44" t="s">
        <v>75</v>
      </c>
      <c r="D25" s="45"/>
    </row>
    <row r="26" spans="2:4" x14ac:dyDescent="0.2">
      <c r="B26" s="44">
        <v>22</v>
      </c>
      <c r="C26" s="46" t="s">
        <v>82</v>
      </c>
      <c r="D26" s="45"/>
    </row>
    <row r="27" spans="2:4" x14ac:dyDescent="0.2">
      <c r="B27" s="44">
        <v>23</v>
      </c>
      <c r="C27" s="46" t="s">
        <v>76</v>
      </c>
      <c r="D27" s="45"/>
    </row>
    <row r="28" spans="2:4" ht="5.45" customHeight="1" x14ac:dyDescent="0.2"/>
    <row r="29" spans="2:4" s="89" customFormat="1" ht="15" x14ac:dyDescent="0.25">
      <c r="B29" s="91">
        <v>24</v>
      </c>
      <c r="C29" s="58" t="s">
        <v>93</v>
      </c>
      <c r="D29" s="59">
        <f>SUM(D5:D27)</f>
        <v>0</v>
      </c>
    </row>
    <row r="31" spans="2:4" s="89" customFormat="1" ht="15" x14ac:dyDescent="0.25">
      <c r="C31" s="56" t="s">
        <v>89</v>
      </c>
      <c r="D31" s="90"/>
    </row>
    <row r="32" spans="2:4" ht="15" x14ac:dyDescent="0.25">
      <c r="C32" s="60" t="s">
        <v>130</v>
      </c>
    </row>
    <row r="33" spans="2:4" x14ac:dyDescent="0.2">
      <c r="B33" s="44">
        <v>25</v>
      </c>
      <c r="C33" s="44" t="s">
        <v>94</v>
      </c>
      <c r="D33" s="45"/>
    </row>
    <row r="34" spans="2:4" x14ac:dyDescent="0.2">
      <c r="B34" s="44">
        <v>26</v>
      </c>
      <c r="C34" s="44" t="s">
        <v>97</v>
      </c>
      <c r="D34" s="45"/>
    </row>
    <row r="35" spans="2:4" x14ac:dyDescent="0.2">
      <c r="B35" s="44">
        <v>27</v>
      </c>
      <c r="C35" s="44" t="s">
        <v>98</v>
      </c>
      <c r="D35" s="45"/>
    </row>
    <row r="36" spans="2:4" x14ac:dyDescent="0.2">
      <c r="B36" s="44">
        <v>28</v>
      </c>
      <c r="C36" s="44" t="s">
        <v>99</v>
      </c>
      <c r="D36" s="45"/>
    </row>
    <row r="37" spans="2:4" x14ac:dyDescent="0.2">
      <c r="B37" s="44">
        <v>29</v>
      </c>
      <c r="C37" s="46" t="s">
        <v>136</v>
      </c>
      <c r="D37" s="45">
        <v>5000</v>
      </c>
    </row>
    <row r="38" spans="2:4" x14ac:dyDescent="0.2">
      <c r="B38" s="44">
        <v>30</v>
      </c>
      <c r="C38" s="44" t="s">
        <v>100</v>
      </c>
      <c r="D38" s="45"/>
    </row>
    <row r="39" spans="2:4" x14ac:dyDescent="0.2">
      <c r="B39" s="44">
        <v>31</v>
      </c>
      <c r="C39" s="44" t="s">
        <v>101</v>
      </c>
      <c r="D39" s="45"/>
    </row>
    <row r="40" spans="2:4" x14ac:dyDescent="0.2">
      <c r="B40" s="44">
        <v>32</v>
      </c>
      <c r="C40" s="44" t="s">
        <v>102</v>
      </c>
      <c r="D40" s="45"/>
    </row>
    <row r="41" spans="2:4" x14ac:dyDescent="0.2">
      <c r="B41" s="44">
        <v>33</v>
      </c>
      <c r="C41" s="46" t="s">
        <v>137</v>
      </c>
      <c r="D41" s="45">
        <f>SUM(D42:D47)</f>
        <v>5000</v>
      </c>
    </row>
    <row r="42" spans="2:4" x14ac:dyDescent="0.2">
      <c r="C42" s="46" t="s">
        <v>92</v>
      </c>
      <c r="D42" s="45"/>
    </row>
    <row r="43" spans="2:4" x14ac:dyDescent="0.2">
      <c r="C43" s="44" t="s">
        <v>81</v>
      </c>
      <c r="D43" s="45">
        <v>5000</v>
      </c>
    </row>
    <row r="44" spans="2:4" x14ac:dyDescent="0.2">
      <c r="C44" s="44" t="s">
        <v>80</v>
      </c>
      <c r="D44" s="45"/>
    </row>
    <row r="45" spans="2:4" x14ac:dyDescent="0.2">
      <c r="C45" s="44" t="s">
        <v>79</v>
      </c>
      <c r="D45" s="45"/>
    </row>
    <row r="46" spans="2:4" x14ac:dyDescent="0.2">
      <c r="C46" s="44" t="s">
        <v>78</v>
      </c>
      <c r="D46" s="45"/>
    </row>
    <row r="47" spans="2:4" x14ac:dyDescent="0.2">
      <c r="C47" s="44" t="s">
        <v>77</v>
      </c>
      <c r="D47" s="45"/>
    </row>
    <row r="48" spans="2:4" x14ac:dyDescent="0.2">
      <c r="B48" s="44">
        <v>34</v>
      </c>
      <c r="C48" s="46" t="s">
        <v>103</v>
      </c>
      <c r="D48" s="45">
        <f>SUM(D49:D50)</f>
        <v>0</v>
      </c>
    </row>
    <row r="49" spans="2:4" x14ac:dyDescent="0.2">
      <c r="C49" s="46" t="s">
        <v>91</v>
      </c>
      <c r="D49" s="45"/>
    </row>
    <row r="50" spans="2:4" x14ac:dyDescent="0.2">
      <c r="C50" s="46" t="s">
        <v>90</v>
      </c>
      <c r="D50" s="45"/>
    </row>
    <row r="51" spans="2:4" x14ac:dyDescent="0.2">
      <c r="B51" s="44">
        <v>35</v>
      </c>
      <c r="C51" s="46" t="s">
        <v>104</v>
      </c>
      <c r="D51" s="45">
        <v>10000</v>
      </c>
    </row>
    <row r="52" spans="2:4" x14ac:dyDescent="0.2">
      <c r="B52" s="44">
        <v>36</v>
      </c>
      <c r="C52" s="44" t="s">
        <v>138</v>
      </c>
      <c r="D52" s="45">
        <f>SUM(D53:D54)</f>
        <v>1000</v>
      </c>
    </row>
    <row r="53" spans="2:4" x14ac:dyDescent="0.2">
      <c r="C53" s="46" t="s">
        <v>122</v>
      </c>
      <c r="D53" s="45">
        <v>1000</v>
      </c>
    </row>
    <row r="54" spans="2:4" ht="15.75" customHeight="1" x14ac:dyDescent="0.2">
      <c r="C54" s="46" t="s">
        <v>88</v>
      </c>
      <c r="D54" s="45"/>
    </row>
    <row r="55" spans="2:4" ht="28.5" x14ac:dyDescent="0.2">
      <c r="B55" s="44">
        <v>37</v>
      </c>
      <c r="C55" s="46" t="s">
        <v>123</v>
      </c>
      <c r="D55" s="45"/>
    </row>
    <row r="56" spans="2:4" x14ac:dyDescent="0.2">
      <c r="B56" s="44">
        <v>38</v>
      </c>
      <c r="C56" s="44" t="s">
        <v>87</v>
      </c>
      <c r="D56" s="45"/>
    </row>
    <row r="57" spans="2:4" x14ac:dyDescent="0.2">
      <c r="B57" s="44">
        <v>39</v>
      </c>
      <c r="C57" s="44" t="s">
        <v>86</v>
      </c>
      <c r="D57" s="45"/>
    </row>
    <row r="58" spans="2:4" x14ac:dyDescent="0.2">
      <c r="B58" s="44">
        <v>40</v>
      </c>
      <c r="C58" s="44" t="s">
        <v>85</v>
      </c>
      <c r="D58" s="45"/>
    </row>
    <row r="59" spans="2:4" x14ac:dyDescent="0.2">
      <c r="B59" s="44">
        <v>41</v>
      </c>
      <c r="C59" s="46" t="s">
        <v>84</v>
      </c>
      <c r="D59" s="45"/>
    </row>
    <row r="60" spans="2:4" x14ac:dyDescent="0.2">
      <c r="B60" s="44">
        <v>42</v>
      </c>
      <c r="C60" s="46" t="s">
        <v>95</v>
      </c>
      <c r="D60" s="45"/>
    </row>
    <row r="61" spans="2:4" x14ac:dyDescent="0.2">
      <c r="B61" s="44">
        <v>43</v>
      </c>
      <c r="C61" s="46" t="s">
        <v>96</v>
      </c>
      <c r="D61" s="45"/>
    </row>
    <row r="62" spans="2:4" x14ac:dyDescent="0.2">
      <c r="B62" s="44">
        <v>44</v>
      </c>
      <c r="C62" s="44" t="s">
        <v>83</v>
      </c>
      <c r="D62" s="45"/>
    </row>
    <row r="63" spans="2:4" ht="15" x14ac:dyDescent="0.25">
      <c r="B63" s="61">
        <v>45</v>
      </c>
      <c r="C63" s="55" t="s">
        <v>150</v>
      </c>
      <c r="D63" s="57">
        <f>SUM(D55:D62)+D52+D51+D48+D41+SUM(D33:D40)</f>
        <v>21000</v>
      </c>
    </row>
    <row r="64" spans="2:4" x14ac:dyDescent="0.2">
      <c r="C64" s="40"/>
    </row>
    <row r="65" spans="2:4" ht="15" x14ac:dyDescent="0.25">
      <c r="C65" s="43" t="s">
        <v>139</v>
      </c>
    </row>
    <row r="66" spans="2:4" x14ac:dyDescent="0.2">
      <c r="B66" s="44">
        <v>46</v>
      </c>
      <c r="C66" s="46" t="s">
        <v>105</v>
      </c>
      <c r="D66" s="45"/>
    </row>
    <row r="67" spans="2:4" x14ac:dyDescent="0.2">
      <c r="B67" s="44">
        <v>47</v>
      </c>
      <c r="C67" s="46" t="s">
        <v>106</v>
      </c>
      <c r="D67" s="45"/>
    </row>
    <row r="68" spans="2:4" x14ac:dyDescent="0.2">
      <c r="B68" s="44">
        <v>48</v>
      </c>
      <c r="C68" s="46" t="s">
        <v>107</v>
      </c>
      <c r="D68" s="45"/>
    </row>
    <row r="69" spans="2:4" x14ac:dyDescent="0.2">
      <c r="B69" s="44">
        <v>49</v>
      </c>
      <c r="C69" s="46" t="s">
        <v>108</v>
      </c>
      <c r="D69" s="45"/>
    </row>
    <row r="70" spans="2:4" ht="15" x14ac:dyDescent="0.25">
      <c r="B70" s="61">
        <v>50</v>
      </c>
      <c r="C70" s="55" t="s">
        <v>151</v>
      </c>
      <c r="D70" s="57">
        <f>SUM(D66:D69)</f>
        <v>0</v>
      </c>
    </row>
    <row r="71" spans="2:4" x14ac:dyDescent="0.2">
      <c r="C71" s="40"/>
      <c r="D71"/>
    </row>
    <row r="72" spans="2:4" ht="15" x14ac:dyDescent="0.25">
      <c r="C72" s="43" t="s">
        <v>143</v>
      </c>
    </row>
    <row r="73" spans="2:4" ht="28.5" x14ac:dyDescent="0.2">
      <c r="B73" s="62">
        <v>51</v>
      </c>
      <c r="C73" s="46" t="s">
        <v>111</v>
      </c>
      <c r="D73" s="45"/>
    </row>
    <row r="74" spans="2:4" x14ac:dyDescent="0.2">
      <c r="B74" s="62">
        <v>52</v>
      </c>
      <c r="C74" s="46" t="s">
        <v>112</v>
      </c>
      <c r="D74" s="45"/>
    </row>
    <row r="75" spans="2:4" ht="28.5" x14ac:dyDescent="0.2">
      <c r="B75" s="62">
        <v>53</v>
      </c>
      <c r="C75" s="46" t="s">
        <v>113</v>
      </c>
      <c r="D75" s="45"/>
    </row>
    <row r="76" spans="2:4" x14ac:dyDescent="0.2">
      <c r="B76" s="62">
        <v>54</v>
      </c>
      <c r="C76" s="46" t="s">
        <v>109</v>
      </c>
      <c r="D76" s="45"/>
    </row>
    <row r="77" spans="2:4" ht="28.5" x14ac:dyDescent="0.2">
      <c r="B77" s="62">
        <v>55</v>
      </c>
      <c r="C77" s="46" t="s">
        <v>114</v>
      </c>
      <c r="D77" s="45"/>
    </row>
    <row r="78" spans="2:4" ht="28.5" x14ac:dyDescent="0.2">
      <c r="B78" s="62">
        <v>56</v>
      </c>
      <c r="C78" s="46" t="s">
        <v>115</v>
      </c>
      <c r="D78" s="45"/>
    </row>
    <row r="79" spans="2:4" ht="28.5" x14ac:dyDescent="0.2">
      <c r="B79" s="62">
        <v>57</v>
      </c>
      <c r="C79" s="46" t="s">
        <v>117</v>
      </c>
      <c r="D79" s="45"/>
    </row>
    <row r="80" spans="2:4" ht="28.5" x14ac:dyDescent="0.2">
      <c r="B80" s="62">
        <v>58</v>
      </c>
      <c r="C80" s="46" t="s">
        <v>118</v>
      </c>
      <c r="D80" s="45"/>
    </row>
    <row r="81" spans="2:4" x14ac:dyDescent="0.2">
      <c r="B81" s="62">
        <v>59</v>
      </c>
      <c r="C81" s="46" t="s">
        <v>119</v>
      </c>
      <c r="D81" s="45"/>
    </row>
    <row r="82" spans="2:4" ht="44.25" customHeight="1" x14ac:dyDescent="0.2">
      <c r="B82" s="62">
        <v>60</v>
      </c>
      <c r="C82" s="46" t="s">
        <v>120</v>
      </c>
      <c r="D82" s="45"/>
    </row>
    <row r="83" spans="2:4" ht="42.75" x14ac:dyDescent="0.2">
      <c r="B83" s="62">
        <v>61</v>
      </c>
      <c r="C83" s="46" t="s">
        <v>121</v>
      </c>
      <c r="D83" s="45"/>
    </row>
    <row r="84" spans="2:4" ht="32.25" customHeight="1" x14ac:dyDescent="0.2">
      <c r="B84" s="62">
        <v>62</v>
      </c>
      <c r="C84" s="46" t="s">
        <v>110</v>
      </c>
      <c r="D84" s="45"/>
    </row>
    <row r="85" spans="2:4" x14ac:dyDescent="0.2">
      <c r="B85" s="62">
        <v>63</v>
      </c>
      <c r="C85" s="46" t="s">
        <v>140</v>
      </c>
      <c r="D85" s="45"/>
    </row>
    <row r="86" spans="2:4" x14ac:dyDescent="0.2">
      <c r="B86" s="62">
        <v>64</v>
      </c>
      <c r="C86" s="44" t="s">
        <v>141</v>
      </c>
      <c r="D86" s="45"/>
    </row>
    <row r="87" spans="2:4" x14ac:dyDescent="0.2">
      <c r="B87" s="62">
        <v>65</v>
      </c>
      <c r="C87" s="44" t="s">
        <v>142</v>
      </c>
      <c r="D87" s="45"/>
    </row>
    <row r="88" spans="2:4" ht="15" x14ac:dyDescent="0.25">
      <c r="B88" s="63">
        <v>66</v>
      </c>
      <c r="C88" s="55" t="s">
        <v>152</v>
      </c>
      <c r="D88" s="57">
        <f>SUM(D73:D87)</f>
        <v>0</v>
      </c>
    </row>
    <row r="89" spans="2:4" ht="15" x14ac:dyDescent="0.25">
      <c r="B89" s="65"/>
      <c r="C89" s="43"/>
      <c r="D89" s="64"/>
    </row>
    <row r="90" spans="2:4" s="89" customFormat="1" ht="15" x14ac:dyDescent="0.25">
      <c r="B90" s="84">
        <v>67</v>
      </c>
      <c r="C90" s="58" t="s">
        <v>153</v>
      </c>
      <c r="D90" s="85">
        <f>D88+D70+D63</f>
        <v>21000</v>
      </c>
    </row>
    <row r="92" spans="2:4" s="88" customFormat="1" ht="15" x14ac:dyDescent="0.25">
      <c r="B92" s="86">
        <v>68</v>
      </c>
      <c r="C92" s="86" t="s">
        <v>154</v>
      </c>
      <c r="D92" s="87">
        <f>D29-D90</f>
        <v>-21000</v>
      </c>
    </row>
    <row r="94" spans="2:4" x14ac:dyDescent="0.2">
      <c r="B94" s="44">
        <v>69</v>
      </c>
      <c r="C94" s="46" t="s">
        <v>155</v>
      </c>
      <c r="D94" s="45">
        <v>800</v>
      </c>
    </row>
    <row r="95" spans="2:4" s="60" customFormat="1" ht="30" x14ac:dyDescent="0.25">
      <c r="B95" s="61">
        <v>70</v>
      </c>
      <c r="C95" s="94" t="s">
        <v>156</v>
      </c>
      <c r="D95" s="57">
        <f>D92-D94</f>
        <v>-21800</v>
      </c>
    </row>
    <row r="96" spans="2:4" s="93" customFormat="1" ht="15" x14ac:dyDescent="0.25">
      <c r="B96" s="86">
        <v>71</v>
      </c>
      <c r="C96" s="92" t="s">
        <v>157</v>
      </c>
      <c r="D96" s="87">
        <f>D95*0.18</f>
        <v>-3924</v>
      </c>
    </row>
    <row r="97" spans="2:9" ht="28.5" x14ac:dyDescent="0.2">
      <c r="B97" s="44">
        <v>72</v>
      </c>
      <c r="C97" s="46" t="s">
        <v>158</v>
      </c>
      <c r="D97" s="45"/>
    </row>
    <row r="98" spans="2:9" ht="42.75" customHeight="1" x14ac:dyDescent="0.2">
      <c r="B98" s="44">
        <v>73</v>
      </c>
      <c r="C98" s="46" t="s">
        <v>159</v>
      </c>
      <c r="D98" s="45"/>
    </row>
    <row r="99" spans="2:9" s="93" customFormat="1" ht="15" x14ac:dyDescent="0.25">
      <c r="B99" s="86">
        <v>74</v>
      </c>
      <c r="C99" s="92" t="s">
        <v>160</v>
      </c>
      <c r="D99" s="87">
        <f>D96-D97-D98</f>
        <v>-3924</v>
      </c>
    </row>
    <row r="101" spans="2:9" x14ac:dyDescent="0.2">
      <c r="B101" s="44">
        <v>75</v>
      </c>
      <c r="C101" s="46" t="s">
        <v>161</v>
      </c>
      <c r="D101" s="45"/>
    </row>
    <row r="102" spans="2:9" s="88" customFormat="1" ht="15.95" customHeight="1" x14ac:dyDescent="0.25">
      <c r="B102" s="86">
        <v>76</v>
      </c>
      <c r="C102" s="92" t="s">
        <v>165</v>
      </c>
      <c r="D102" s="87">
        <f>D99-D101</f>
        <v>-3924</v>
      </c>
    </row>
    <row r="103" spans="2:9" x14ac:dyDescent="0.2">
      <c r="C103" s="42"/>
    </row>
    <row r="104" spans="2:9" x14ac:dyDescent="0.2">
      <c r="B104" s="46">
        <v>77</v>
      </c>
      <c r="C104" s="45" t="s">
        <v>162</v>
      </c>
      <c r="D104" s="46"/>
    </row>
    <row r="106" spans="2:9" s="98" customFormat="1" ht="15" x14ac:dyDescent="0.25">
      <c r="B106" s="95">
        <v>78</v>
      </c>
      <c r="C106" s="96" t="s">
        <v>163</v>
      </c>
      <c r="D106" s="97">
        <f>D102-D104</f>
        <v>-3924</v>
      </c>
    </row>
    <row r="108" spans="2:9" x14ac:dyDescent="0.2">
      <c r="C108" s="42"/>
    </row>
    <row r="109" spans="2:9" s="98" customFormat="1" ht="15" x14ac:dyDescent="0.25">
      <c r="B109" s="95">
        <v>79</v>
      </c>
      <c r="C109" s="96" t="s">
        <v>164</v>
      </c>
      <c r="D109" s="97">
        <f>IF(D106&lt;0,D106,0)</f>
        <v>-3924</v>
      </c>
    </row>
    <row r="112" spans="2:9" x14ac:dyDescent="0.2">
      <c r="B112" s="131" t="s">
        <v>169</v>
      </c>
      <c r="C112" s="131"/>
      <c r="D112" s="131"/>
      <c r="E112" s="131"/>
      <c r="F112" s="131"/>
      <c r="G112" s="131"/>
      <c r="H112" s="131"/>
      <c r="I112" s="131"/>
    </row>
    <row r="113" spans="2:9" x14ac:dyDescent="0.2">
      <c r="B113" s="131"/>
      <c r="C113" s="131"/>
      <c r="D113" s="131"/>
      <c r="E113" s="131"/>
      <c r="F113" s="131"/>
      <c r="G113" s="131"/>
      <c r="H113" s="131"/>
      <c r="I113" s="131"/>
    </row>
    <row r="114" spans="2:9" x14ac:dyDescent="0.2">
      <c r="B114" s="131"/>
      <c r="C114" s="131"/>
      <c r="D114" s="131"/>
      <c r="E114" s="131"/>
      <c r="F114" s="131"/>
      <c r="G114" s="131"/>
      <c r="H114" s="131"/>
      <c r="I114" s="131"/>
    </row>
    <row r="115" spans="2:9" x14ac:dyDescent="0.2">
      <c r="B115" s="131"/>
      <c r="C115" s="131"/>
      <c r="D115" s="131"/>
      <c r="E115" s="131"/>
      <c r="F115" s="131"/>
      <c r="G115" s="131"/>
      <c r="H115" s="131"/>
      <c r="I115" s="131"/>
    </row>
    <row r="116" spans="2:9" x14ac:dyDescent="0.2">
      <c r="B116" s="131"/>
      <c r="C116" s="131"/>
      <c r="D116" s="131"/>
      <c r="E116" s="131"/>
      <c r="F116" s="131"/>
      <c r="G116" s="131"/>
      <c r="H116" s="131"/>
      <c r="I116" s="131"/>
    </row>
    <row r="117" spans="2:9" x14ac:dyDescent="0.2">
      <c r="B117" s="131"/>
      <c r="C117" s="131"/>
      <c r="D117" s="131"/>
      <c r="E117" s="131"/>
      <c r="F117" s="131"/>
      <c r="G117" s="131"/>
      <c r="H117" s="131"/>
      <c r="I117" s="131"/>
    </row>
    <row r="118" spans="2:9" x14ac:dyDescent="0.2">
      <c r="B118" s="131"/>
      <c r="C118" s="131"/>
      <c r="D118" s="131"/>
      <c r="E118" s="131"/>
      <c r="F118" s="131"/>
      <c r="G118" s="131"/>
      <c r="H118" s="131"/>
      <c r="I118" s="131"/>
    </row>
    <row r="119" spans="2:9" x14ac:dyDescent="0.2">
      <c r="B119" s="131"/>
      <c r="C119" s="131"/>
      <c r="D119" s="131"/>
      <c r="E119" s="131"/>
      <c r="F119" s="131"/>
      <c r="G119" s="131"/>
      <c r="H119" s="131"/>
      <c r="I119" s="131"/>
    </row>
    <row r="120" spans="2:9" x14ac:dyDescent="0.2">
      <c r="B120" s="131"/>
      <c r="C120" s="131"/>
      <c r="D120" s="131"/>
      <c r="E120" s="131"/>
      <c r="F120" s="131"/>
      <c r="G120" s="131"/>
      <c r="H120" s="131"/>
      <c r="I120" s="131"/>
    </row>
    <row r="121" spans="2:9" ht="1.5" customHeight="1" x14ac:dyDescent="0.2">
      <c r="B121" s="131"/>
      <c r="C121" s="131"/>
      <c r="D121" s="131"/>
      <c r="E121" s="131"/>
      <c r="F121" s="131"/>
      <c r="G121" s="131"/>
      <c r="H121" s="131"/>
      <c r="I121" s="131"/>
    </row>
    <row r="122" spans="2:9" hidden="1" x14ac:dyDescent="0.2">
      <c r="B122" s="131"/>
      <c r="C122" s="131"/>
      <c r="D122" s="131"/>
      <c r="E122" s="131"/>
      <c r="F122" s="131"/>
      <c r="G122" s="131"/>
      <c r="H122" s="131"/>
      <c r="I122" s="131"/>
    </row>
  </sheetData>
  <mergeCells count="1">
    <mergeCell ref="B112:I12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15"/>
  <sheetViews>
    <sheetView zoomScaleNormal="100" workbookViewId="0">
      <pane ySplit="1" topLeftCell="A2" activePane="bottomLeft" state="frozen"/>
      <selection pane="bottomLeft" activeCell="J12" sqref="J12:W15"/>
    </sheetView>
  </sheetViews>
  <sheetFormatPr defaultColWidth="9" defaultRowHeight="15" x14ac:dyDescent="0.25"/>
  <cols>
    <col min="1" max="1" width="1.125" style="1" customWidth="1"/>
    <col min="2" max="2" width="0.75" style="1" customWidth="1"/>
    <col min="3" max="3" width="33.25" style="1" customWidth="1"/>
    <col min="4" max="4" width="14.125" style="1" customWidth="1"/>
    <col min="5" max="5" width="11.625" style="1" customWidth="1"/>
    <col min="6" max="6" width="10.625" style="1" customWidth="1"/>
    <col min="7" max="7" width="11.375" style="1" customWidth="1"/>
    <col min="8" max="8" width="7.75" style="1" customWidth="1"/>
    <col min="9" max="9" width="1.25" style="1" customWidth="1"/>
    <col min="10" max="11" width="9" style="1"/>
    <col min="12" max="12" width="9" style="1" customWidth="1"/>
    <col min="13" max="13" width="1.875" style="1" customWidth="1"/>
    <col min="14" max="20" width="9" style="1"/>
    <col min="21" max="23" width="16.125" style="1" customWidth="1"/>
    <col min="24" max="16384" width="9" style="1"/>
  </cols>
  <sheetData>
    <row r="1" spans="1:23" ht="15" customHeight="1" x14ac:dyDescent="0.25">
      <c r="B1" s="142" t="s">
        <v>1</v>
      </c>
      <c r="C1" s="142"/>
      <c r="D1" s="142"/>
      <c r="E1" s="142"/>
      <c r="F1" s="142"/>
      <c r="G1" s="142"/>
      <c r="H1" s="142"/>
      <c r="L1" s="1" t="s">
        <v>0</v>
      </c>
    </row>
    <row r="2" spans="1:23" ht="121.5" customHeight="1" x14ac:dyDescent="0.25">
      <c r="A2" s="142" t="s">
        <v>144</v>
      </c>
      <c r="B2" s="142"/>
      <c r="C2" s="142"/>
      <c r="D2" s="142"/>
      <c r="E2" s="142"/>
      <c r="F2" s="142"/>
      <c r="G2" s="142"/>
      <c r="H2" s="142"/>
      <c r="I2" s="142"/>
      <c r="J2" s="142"/>
      <c r="K2" s="142"/>
      <c r="L2" s="142"/>
      <c r="M2" s="142"/>
      <c r="N2" s="142"/>
      <c r="O2" s="142"/>
      <c r="P2" s="142"/>
      <c r="Q2" s="142"/>
      <c r="R2" s="142"/>
      <c r="S2" s="142"/>
      <c r="T2" s="142"/>
      <c r="U2" s="142"/>
      <c r="V2" s="142"/>
      <c r="W2" s="142"/>
    </row>
    <row r="3" spans="1:23" x14ac:dyDescent="0.25">
      <c r="C3" s="67"/>
      <c r="F3" s="66" t="s">
        <v>6</v>
      </c>
    </row>
    <row r="4" spans="1:23" x14ac:dyDescent="0.25">
      <c r="D4" s="1">
        <v>500000</v>
      </c>
      <c r="E4" s="1">
        <f>+D4*0.2</f>
        <v>100000</v>
      </c>
      <c r="F4" s="1">
        <f>IF(F3="ոչ",0,IF(F3="այո",D4*0.05))</f>
        <v>25000</v>
      </c>
      <c r="G4" s="1">
        <f>IF(D4=0,0,IF(AND(D4&gt;0,D4&lt;=100000),1500,IF(D4&lt;=200000,3000,IF(D4&lt;=500000,5500,IF(D4&lt;=1000000,8500,15000)))))</f>
        <v>5500</v>
      </c>
      <c r="H4" s="1">
        <f>+D4-E4-F4-G4</f>
        <v>369500</v>
      </c>
      <c r="J4" s="1">
        <v>100000</v>
      </c>
      <c r="K4" s="1">
        <v>73500</v>
      </c>
      <c r="L4" s="1">
        <v>78500</v>
      </c>
      <c r="N4" s="1">
        <v>500000</v>
      </c>
      <c r="O4" s="1">
        <v>369500</v>
      </c>
    </row>
    <row r="5" spans="1:23" x14ac:dyDescent="0.25">
      <c r="D5" s="1">
        <v>147000</v>
      </c>
      <c r="E5" s="1">
        <f>H5*0.2</f>
        <v>39200</v>
      </c>
      <c r="F5" s="1">
        <f>IF(F3="ոչ",0,IF(F3="այո",H5*0.05))</f>
        <v>9800</v>
      </c>
      <c r="H5" s="1">
        <f>+(G5+D5) / (1 - 25/100)</f>
        <v>196000</v>
      </c>
      <c r="J5" s="1">
        <v>200000</v>
      </c>
      <c r="K5" s="1">
        <v>147000</v>
      </c>
      <c r="L5" s="1">
        <v>157000</v>
      </c>
      <c r="N5" s="1">
        <v>1125000</v>
      </c>
      <c r="O5" s="1">
        <v>797500</v>
      </c>
    </row>
    <row r="6" spans="1:23" ht="15.75" thickBot="1" x14ac:dyDescent="0.3">
      <c r="J6" s="1">
        <v>500000</v>
      </c>
      <c r="K6" s="1">
        <v>369500</v>
      </c>
      <c r="L6" s="1">
        <v>394500</v>
      </c>
    </row>
    <row r="7" spans="1:23" ht="15.75" thickBot="1" x14ac:dyDescent="0.3">
      <c r="C7" s="73" t="s">
        <v>145</v>
      </c>
      <c r="D7" s="68">
        <v>1450000</v>
      </c>
      <c r="E7" s="100">
        <f>+D7*0.2</f>
        <v>290000</v>
      </c>
      <c r="F7" s="100">
        <f>IF(D7&lt;=500000,D7*5%,IF(AND(D7&gt;500000,D7&lt;=1125000),D7*10%-25000,87500))</f>
        <v>87500</v>
      </c>
      <c r="G7" s="100">
        <f>IF(D7=0,0,IF(AND(D7&gt;0,D7&lt;=100000),1500,IF(D7&lt;=200000,3000,IF(D7&lt;=500000,5500,IF(D7&lt;=1000000,8500,15000)))))</f>
        <v>15000</v>
      </c>
      <c r="H7" s="69">
        <f>+D7-E7-F7-G7</f>
        <v>1057500</v>
      </c>
      <c r="J7" s="1">
        <v>1000000</v>
      </c>
      <c r="K7" s="1">
        <v>741500</v>
      </c>
      <c r="L7" s="1">
        <v>791500</v>
      </c>
    </row>
    <row r="8" spans="1:23" x14ac:dyDescent="0.25">
      <c r="C8" s="74" t="s">
        <v>146</v>
      </c>
      <c r="D8" s="68">
        <v>1450000</v>
      </c>
      <c r="E8" s="101">
        <f>+D8*0.2</f>
        <v>290000</v>
      </c>
      <c r="F8" s="101">
        <v>0</v>
      </c>
      <c r="G8" s="101">
        <f>IF(D8=0,0,IF(AND(D8&gt;0,D8&lt;=100000),1500,IF(D8&lt;=200000,3000,IF(D8&lt;=500000,5500,IF(D8&lt;=1000000,8500,15000)))))</f>
        <v>15000</v>
      </c>
      <c r="H8" s="70">
        <f>+D8-E8-F8-G8</f>
        <v>1145000</v>
      </c>
    </row>
    <row r="9" spans="1:23" x14ac:dyDescent="0.25">
      <c r="C9" s="74" t="s">
        <v>147</v>
      </c>
      <c r="D9" s="1">
        <v>1598000</v>
      </c>
      <c r="E9" s="102">
        <f>H9*0.2</f>
        <v>425125</v>
      </c>
      <c r="F9" s="102">
        <f>IF(D9&lt;=369500,H9*5%,IF(AND(D9&gt;369500,D9&lt;=741500),H9*10%-25000,87500))</f>
        <v>87500</v>
      </c>
      <c r="G9" s="101">
        <f>IF(D9=0,0,IF(AND(D9&gt;0,D9&lt;=73500),1500,IF(D9&lt;=147000,3000,IF(D9&lt;=369500,5500,IF(D9&lt;=741500,8500,15000)))))</f>
        <v>15000</v>
      </c>
      <c r="H9" s="76">
        <f>IF(D9&lt;=369500,(D9+G9)/0.75,IF(AND(D9&gt;369500,D9&lt;=797500),(D9+G9-25000)/0.7,(D9+G9+87500)/0.8))</f>
        <v>2125625</v>
      </c>
    </row>
    <row r="10" spans="1:23" ht="15.75" thickBot="1" x14ac:dyDescent="0.3">
      <c r="C10" s="75" t="s">
        <v>148</v>
      </c>
      <c r="D10" s="103">
        <v>560000</v>
      </c>
      <c r="E10" s="104">
        <f>H10*0.2</f>
        <v>142125</v>
      </c>
      <c r="F10" s="104">
        <v>0</v>
      </c>
      <c r="G10" s="104">
        <f>IF(D10=0,0,IF(AND(D10&gt;0,D10&lt;=78500),1500,IF(D10&lt;=157000,3000,IF(D10&lt;=394500,5500,IF(D10&lt;=791500,8500,15000)))))</f>
        <v>8500</v>
      </c>
      <c r="H10" s="71">
        <f>(D10+G10)/0.8</f>
        <v>710625</v>
      </c>
    </row>
    <row r="11" spans="1:23" ht="5.25" customHeight="1" thickBot="1" x14ac:dyDescent="0.3">
      <c r="J11" s="72"/>
      <c r="K11" s="77"/>
    </row>
    <row r="12" spans="1:23" ht="151.5" customHeight="1" x14ac:dyDescent="0.25">
      <c r="C12" s="132" t="s">
        <v>172</v>
      </c>
      <c r="D12" s="133"/>
      <c r="E12" s="133"/>
      <c r="F12" s="133"/>
      <c r="G12" s="133"/>
      <c r="H12" s="134"/>
      <c r="J12" s="141" t="s">
        <v>173</v>
      </c>
      <c r="K12" s="133"/>
      <c r="L12" s="133"/>
      <c r="M12" s="133"/>
      <c r="N12" s="133"/>
      <c r="O12" s="133"/>
      <c r="P12" s="133"/>
      <c r="Q12" s="133"/>
      <c r="R12" s="133"/>
      <c r="S12" s="133"/>
      <c r="T12" s="133"/>
      <c r="U12" s="133"/>
      <c r="V12" s="133"/>
      <c r="W12" s="134"/>
    </row>
    <row r="13" spans="1:23" x14ac:dyDescent="0.25">
      <c r="C13" s="135"/>
      <c r="D13" s="136"/>
      <c r="E13" s="136"/>
      <c r="F13" s="136"/>
      <c r="G13" s="136"/>
      <c r="H13" s="137"/>
      <c r="J13" s="135"/>
      <c r="K13" s="136"/>
      <c r="L13" s="136"/>
      <c r="M13" s="136"/>
      <c r="N13" s="136"/>
      <c r="O13" s="136"/>
      <c r="P13" s="136"/>
      <c r="Q13" s="136"/>
      <c r="R13" s="136"/>
      <c r="S13" s="136"/>
      <c r="T13" s="136"/>
      <c r="U13" s="136"/>
      <c r="V13" s="136"/>
      <c r="W13" s="137"/>
    </row>
    <row r="14" spans="1:23" x14ac:dyDescent="0.25">
      <c r="C14" s="135"/>
      <c r="D14" s="136"/>
      <c r="E14" s="136"/>
      <c r="F14" s="136"/>
      <c r="G14" s="136"/>
      <c r="H14" s="137"/>
      <c r="J14" s="135"/>
      <c r="K14" s="136"/>
      <c r="L14" s="136"/>
      <c r="M14" s="136"/>
      <c r="N14" s="136"/>
      <c r="O14" s="136"/>
      <c r="P14" s="136"/>
      <c r="Q14" s="136"/>
      <c r="R14" s="136"/>
      <c r="S14" s="136"/>
      <c r="T14" s="136"/>
      <c r="U14" s="136"/>
      <c r="V14" s="136"/>
      <c r="W14" s="137"/>
    </row>
    <row r="15" spans="1:23" ht="111" customHeight="1" thickBot="1" x14ac:dyDescent="0.3">
      <c r="C15" s="138"/>
      <c r="D15" s="139"/>
      <c r="E15" s="139"/>
      <c r="F15" s="139"/>
      <c r="G15" s="139"/>
      <c r="H15" s="140"/>
      <c r="J15" s="138"/>
      <c r="K15" s="139"/>
      <c r="L15" s="139"/>
      <c r="M15" s="139"/>
      <c r="N15" s="139"/>
      <c r="O15" s="139"/>
      <c r="P15" s="139"/>
      <c r="Q15" s="139"/>
      <c r="R15" s="139"/>
      <c r="S15" s="139"/>
      <c r="T15" s="139"/>
      <c r="U15" s="139"/>
      <c r="V15" s="139"/>
      <c r="W15" s="140"/>
    </row>
  </sheetData>
  <mergeCells count="4">
    <mergeCell ref="C12:H15"/>
    <mergeCell ref="J12:W15"/>
    <mergeCell ref="B1:H1"/>
    <mergeCell ref="A2:W2"/>
  </mergeCells>
  <pageMargins left="0.25" right="0.25" top="0.75" bottom="0.75" header="0.3" footer="0.3"/>
  <pageSetup paperSize="9" scale="71"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1:B5"/>
  <sheetViews>
    <sheetView workbookViewId="0">
      <selection activeCell="D6" sqref="D6"/>
    </sheetView>
  </sheetViews>
  <sheetFormatPr defaultRowHeight="14.25" x14ac:dyDescent="0.2"/>
  <cols>
    <col min="1" max="1" width="1" customWidth="1"/>
    <col min="2" max="2" width="167" customWidth="1"/>
  </cols>
  <sheetData>
    <row r="1" spans="2:2" ht="5.25" customHeight="1" x14ac:dyDescent="0.2"/>
    <row r="2" spans="2:2" ht="5.25" customHeight="1" x14ac:dyDescent="0.2"/>
    <row r="3" spans="2:2" ht="161.44999999999999" customHeight="1" x14ac:dyDescent="0.2">
      <c r="B3" s="99" t="s">
        <v>166</v>
      </c>
    </row>
    <row r="4" spans="2:2" ht="117" customHeight="1" x14ac:dyDescent="0.25">
      <c r="B4" s="99" t="s">
        <v>167</v>
      </c>
    </row>
    <row r="5" spans="2:2" ht="115.5" customHeight="1" x14ac:dyDescent="0.2">
      <c r="B5" s="99" t="s">
        <v>168</v>
      </c>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E2" sqref="E2"/>
    </sheetView>
  </sheetViews>
  <sheetFormatPr defaultColWidth="8" defaultRowHeight="15" x14ac:dyDescent="0.2"/>
  <cols>
    <col min="1" max="1" width="19.625" style="10" customWidth="1"/>
    <col min="2" max="2" width="17.75" style="10" customWidth="1"/>
    <col min="3" max="3" width="13" style="10" bestFit="1" customWidth="1"/>
    <col min="4" max="4" width="8" style="3"/>
    <col min="5" max="6" width="13.25" style="3" customWidth="1"/>
    <col min="7" max="16384" width="8" style="3"/>
  </cols>
  <sheetData>
    <row r="1" spans="1:3" ht="15.75" x14ac:dyDescent="0.25">
      <c r="A1" s="143" t="s">
        <v>2</v>
      </c>
      <c r="B1" s="144"/>
      <c r="C1" s="2" t="s">
        <v>3</v>
      </c>
    </row>
    <row r="2" spans="1:3" x14ac:dyDescent="0.2">
      <c r="A2" s="4">
        <v>0</v>
      </c>
      <c r="B2" s="5">
        <v>100000</v>
      </c>
      <c r="C2" s="6">
        <v>1500</v>
      </c>
    </row>
    <row r="3" spans="1:3" x14ac:dyDescent="0.2">
      <c r="A3" s="4">
        <v>101000</v>
      </c>
      <c r="B3" s="5">
        <v>200000</v>
      </c>
      <c r="C3" s="6">
        <v>3000</v>
      </c>
    </row>
    <row r="4" spans="1:3" x14ac:dyDescent="0.2">
      <c r="A4" s="4">
        <v>200001</v>
      </c>
      <c r="B4" s="5">
        <v>500000</v>
      </c>
      <c r="C4" s="6">
        <v>5500</v>
      </c>
    </row>
    <row r="5" spans="1:3" x14ac:dyDescent="0.2">
      <c r="A5" s="4">
        <v>500001</v>
      </c>
      <c r="B5" s="5">
        <v>1000000</v>
      </c>
      <c r="C5" s="6">
        <v>8500</v>
      </c>
    </row>
    <row r="6" spans="1:3" ht="15.75" thickBot="1" x14ac:dyDescent="0.25">
      <c r="A6" s="7">
        <v>1000000</v>
      </c>
      <c r="B6" s="8"/>
      <c r="C6" s="9">
        <v>15000</v>
      </c>
    </row>
  </sheetData>
  <sheetProtection sheet="1" formatCells="0" formatColumns="0" formatRows="0" insertColumns="0" insertRows="0" insertHyperlinks="0" deleteColumns="0" deleteRows="0" sort="0" autoFilter="0" pivotTables="0"/>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նախագծերի հաշվիչ</vt:lpstr>
      <vt:lpstr>շրջհարկի հաշվիչ</vt:lpstr>
      <vt:lpstr>շահութահարկ</vt:lpstr>
      <vt:lpstr>калькулятор</vt:lpstr>
      <vt:lpstr>Лист1</vt:lpstr>
      <vt:lpstr>Դրոշմանիշային վճարի սանդղակ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Eduarda Ghulyan</dc:creator>
  <cp:lastModifiedBy>Eduarda Ghulyan</cp:lastModifiedBy>
  <dcterms:created xsi:type="dcterms:W3CDTF">2024-09-04T13:15:06Z</dcterms:created>
  <dcterms:modified xsi:type="dcterms:W3CDTF">2025-09-17T12:33:28Z</dcterms:modified>
</cp:coreProperties>
</file>